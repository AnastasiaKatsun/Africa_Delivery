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Настя\Курс\Спринт 9\Задание 2\"/>
    </mc:Choice>
  </mc:AlternateContent>
  <bookViews>
    <workbookView xWindow="0" yWindow="0" windowWidth="28800" windowHeight="12300" activeTab="2"/>
  </bookViews>
  <sheets>
    <sheet name="Инструкция" sheetId="1" r:id="rId1"/>
    <sheet name="Допущения" sheetId="2" r:id="rId2"/>
    <sheet name="TCO" sheetId="3" r:id="rId3"/>
  </sheets>
  <calcPr calcId="162913"/>
  <extLst>
    <ext uri="GoogleSheetsCustomDataVersion2">
      <go:sheetsCustomData xmlns:go="http://customooxmlschemas.google.com/" r:id="rId7" roundtripDataChecksum="s1gNHq3pXRMNuR9zTBGmXgJKbQ3SM3fGus9ppFAMrRg="/>
    </ext>
  </extLst>
</workbook>
</file>

<file path=xl/calcChain.xml><?xml version="1.0" encoding="utf-8"?>
<calcChain xmlns="http://schemas.openxmlformats.org/spreadsheetml/2006/main">
  <c r="E8" i="3" l="1"/>
  <c r="C10" i="2"/>
  <c r="I55" i="3"/>
  <c r="H55" i="3"/>
  <c r="G55" i="3"/>
  <c r="F55" i="3"/>
  <c r="E55" i="3"/>
  <c r="I53" i="3"/>
  <c r="H53" i="3"/>
  <c r="G53" i="3"/>
  <c r="J53" i="3" s="1"/>
  <c r="F53" i="3"/>
  <c r="E53" i="3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H46" i="3" a="1"/>
  <c r="H46" i="3" s="1"/>
  <c r="E46" i="3" a="1"/>
  <c r="E46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E44" i="3" a="1"/>
  <c r="E44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E38" i="3" a="1"/>
  <c r="E38" i="3" s="1"/>
  <c r="E37" i="3" a="1"/>
  <c r="E37" i="3" s="1"/>
  <c r="H36" i="3" a="1"/>
  <c r="H36" i="3" s="1"/>
  <c r="E36" i="3" a="1"/>
  <c r="E36" i="3" s="1"/>
  <c r="G35" i="3" a="1"/>
  <c r="G35" i="3" s="1"/>
  <c r="E35" i="3" a="1"/>
  <c r="E35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F22" i="3" a="1"/>
  <c r="F22" i="3" s="1"/>
  <c r="E22" i="3" a="1"/>
  <c r="E22" i="3" s="1"/>
  <c r="F21" i="3" a="1"/>
  <c r="F21" i="3" s="1"/>
  <c r="E21" i="3" a="1"/>
  <c r="E21" i="3" s="1"/>
  <c r="E19" i="3" a="1"/>
  <c r="E19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F13" i="3" a="1"/>
  <c r="F13" i="3" s="1"/>
  <c r="E13" i="3" a="1"/>
  <c r="E13" i="3" s="1"/>
  <c r="E12" i="3" a="1"/>
  <c r="E12" i="3" s="1"/>
  <c r="G29" i="2"/>
  <c r="I30" i="3" s="1" a="1"/>
  <c r="I30" i="3" s="1"/>
  <c r="F29" i="2"/>
  <c r="H30" i="3" s="1" a="1"/>
  <c r="H30" i="3" s="1"/>
  <c r="E29" i="2"/>
  <c r="G28" i="3" s="1" a="1"/>
  <c r="G28" i="3" s="1"/>
  <c r="D29" i="2"/>
  <c r="F28" i="3" s="1" a="1"/>
  <c r="F28" i="3" s="1"/>
  <c r="C29" i="2"/>
  <c r="E30" i="3" s="1" a="1"/>
  <c r="E30" i="3" s="1"/>
  <c r="G28" i="2"/>
  <c r="I12" i="3" s="1" a="1"/>
  <c r="I12" i="3" s="1"/>
  <c r="F28" i="2"/>
  <c r="H20" i="3" s="1" a="1"/>
  <c r="H20" i="3" s="1"/>
  <c r="E28" i="2"/>
  <c r="G18" i="3" s="1" a="1"/>
  <c r="G18" i="3" s="1"/>
  <c r="D28" i="2"/>
  <c r="F11" i="3" s="1" a="1"/>
  <c r="F11" i="3" s="1"/>
  <c r="C28" i="2"/>
  <c r="E7" i="3" s="1" a="1"/>
  <c r="E7" i="3" s="1"/>
  <c r="G27" i="2"/>
  <c r="I35" i="3" s="1" a="1"/>
  <c r="I35" i="3" s="1"/>
  <c r="F27" i="2"/>
  <c r="H37" i="3" s="1" a="1"/>
  <c r="H37" i="3" s="1"/>
  <c r="E27" i="2"/>
  <c r="G38" i="3" s="1" a="1"/>
  <c r="G38" i="3" s="1"/>
  <c r="D27" i="2"/>
  <c r="F46" i="3" s="1" a="1"/>
  <c r="F46" i="3" s="1"/>
  <c r="D26" i="2"/>
  <c r="E26" i="2" s="1"/>
  <c r="G10" i="2"/>
  <c r="F10" i="2"/>
  <c r="E10" i="2"/>
  <c r="D10" i="2"/>
  <c r="I28" i="3" l="1" a="1"/>
  <c r="I28" i="3" s="1"/>
  <c r="I8" i="3" a="1"/>
  <c r="I8" i="3" s="1"/>
  <c r="E29" i="3" a="1"/>
  <c r="E29" i="3" s="1"/>
  <c r="E28" i="3" a="1"/>
  <c r="E28" i="3" s="1"/>
  <c r="I29" i="3" a="1"/>
  <c r="I29" i="3" s="1"/>
  <c r="F29" i="3" a="1"/>
  <c r="F29" i="3" s="1"/>
  <c r="G30" i="2"/>
  <c r="I27" i="3" s="1" a="1"/>
  <c r="I27" i="3" s="1"/>
  <c r="F30" i="3" a="1"/>
  <c r="F30" i="3" s="1"/>
  <c r="I9" i="3" a="1"/>
  <c r="I9" i="3" s="1"/>
  <c r="I18" i="3" a="1"/>
  <c r="I18" i="3" s="1"/>
  <c r="J14" i="3"/>
  <c r="H7" i="3" a="1"/>
  <c r="H7" i="3" s="1"/>
  <c r="J39" i="3"/>
  <c r="J47" i="3"/>
  <c r="J45" i="3"/>
  <c r="I7" i="3" a="1"/>
  <c r="I7" i="3" s="1"/>
  <c r="J23" i="3"/>
  <c r="G21" i="3" a="1"/>
  <c r="G21" i="3" s="1"/>
  <c r="G19" i="3" a="1"/>
  <c r="G19" i="3" s="1"/>
  <c r="F26" i="2"/>
  <c r="G13" i="3" a="1"/>
  <c r="G13" i="3" s="1"/>
  <c r="G22" i="3" a="1"/>
  <c r="G22" i="3" s="1"/>
  <c r="G44" i="3" a="1"/>
  <c r="G44" i="3" s="1"/>
  <c r="E40" i="3"/>
  <c r="J31" i="3"/>
  <c r="J43" i="3"/>
  <c r="E48" i="3"/>
  <c r="D30" i="2"/>
  <c r="F27" i="3" s="1" a="1"/>
  <c r="F27" i="3" s="1"/>
  <c r="H35" i="3" a="1"/>
  <c r="H35" i="3" s="1"/>
  <c r="G12" i="3" a="1"/>
  <c r="G12" i="3" s="1"/>
  <c r="F20" i="3" a="1"/>
  <c r="F20" i="3" s="1"/>
  <c r="F9" i="3" a="1"/>
  <c r="F9" i="3" s="1"/>
  <c r="F19" i="3" a="1"/>
  <c r="F19" i="3" s="1"/>
  <c r="G7" i="3" a="1"/>
  <c r="G7" i="3" s="1"/>
  <c r="H9" i="3" a="1"/>
  <c r="H9" i="3" s="1"/>
  <c r="I11" i="3" a="1"/>
  <c r="I11" i="3" s="1"/>
  <c r="H29" i="3" a="1"/>
  <c r="H29" i="3" s="1"/>
  <c r="F35" i="3" a="1"/>
  <c r="F35" i="3" s="1"/>
  <c r="G37" i="3" a="1"/>
  <c r="G37" i="3" s="1"/>
  <c r="E30" i="2"/>
  <c r="G27" i="3" s="1" a="1"/>
  <c r="G27" i="3" s="1"/>
  <c r="E9" i="3" a="1"/>
  <c r="E9" i="3" s="1"/>
  <c r="F10" i="3" a="1"/>
  <c r="F10" i="3" s="1"/>
  <c r="H8" i="3" a="1"/>
  <c r="H8" i="3" s="1"/>
  <c r="I10" i="3" a="1"/>
  <c r="I10" i="3" s="1"/>
  <c r="H18" i="3" a="1"/>
  <c r="H18" i="3" s="1"/>
  <c r="I20" i="3" a="1"/>
  <c r="I20" i="3" s="1"/>
  <c r="H28" i="3" a="1"/>
  <c r="H28" i="3" s="1"/>
  <c r="G36" i="3" a="1"/>
  <c r="G36" i="3" s="1"/>
  <c r="H38" i="3" a="1"/>
  <c r="H38" i="3" s="1"/>
  <c r="F44" i="3" a="1"/>
  <c r="F44" i="3" s="1"/>
  <c r="F48" i="3" s="1"/>
  <c r="G46" i="3" a="1"/>
  <c r="G46" i="3" s="1"/>
  <c r="C30" i="2"/>
  <c r="E27" i="3" s="1" a="1"/>
  <c r="E27" i="3" s="1"/>
  <c r="I37" i="3" a="1"/>
  <c r="I37" i="3" s="1"/>
  <c r="E10" i="3" a="1"/>
  <c r="E10" i="3" s="1"/>
  <c r="E20" i="3" a="1"/>
  <c r="E20" i="3" s="1"/>
  <c r="E18" i="3" a="1"/>
  <c r="E18" i="3" s="1"/>
  <c r="F8" i="3" a="1"/>
  <c r="F8" i="3" s="1"/>
  <c r="G10" i="3" a="1"/>
  <c r="G10" i="3" s="1"/>
  <c r="H12" i="3" a="1"/>
  <c r="H12" i="3" s="1"/>
  <c r="F18" i="3" a="1"/>
  <c r="F18" i="3" s="1"/>
  <c r="G20" i="3" a="1"/>
  <c r="G20" i="3" s="1"/>
  <c r="G30" i="3" a="1"/>
  <c r="G30" i="3" s="1"/>
  <c r="F38" i="3" a="1"/>
  <c r="F38" i="3" s="1"/>
  <c r="I38" i="3" a="1"/>
  <c r="I38" i="3" s="1"/>
  <c r="E11" i="3" a="1"/>
  <c r="E11" i="3" s="1"/>
  <c r="F30" i="2"/>
  <c r="H27" i="3" s="1" a="1"/>
  <c r="H27" i="3" s="1"/>
  <c r="I36" i="3" a="1"/>
  <c r="I36" i="3" s="1"/>
  <c r="I46" i="3" a="1"/>
  <c r="I46" i="3" s="1"/>
  <c r="G11" i="3" a="1"/>
  <c r="G11" i="3" s="1"/>
  <c r="F7" i="3" a="1"/>
  <c r="F7" i="3" s="1"/>
  <c r="G9" i="3" a="1"/>
  <c r="G9" i="3" s="1"/>
  <c r="H11" i="3" a="1"/>
  <c r="H11" i="3" s="1"/>
  <c r="G29" i="3" a="1"/>
  <c r="G29" i="3" s="1"/>
  <c r="F37" i="3" a="1"/>
  <c r="F37" i="3" s="1"/>
  <c r="F12" i="3" a="1"/>
  <c r="F12" i="3" s="1"/>
  <c r="G8" i="3" a="1"/>
  <c r="G8" i="3" s="1"/>
  <c r="H10" i="3" a="1"/>
  <c r="H10" i="3" s="1"/>
  <c r="F36" i="3" a="1"/>
  <c r="F36" i="3" s="1"/>
  <c r="J30" i="3" l="1"/>
  <c r="F32" i="3"/>
  <c r="J28" i="3"/>
  <c r="I32" i="3"/>
  <c r="J7" i="3"/>
  <c r="G24" i="3"/>
  <c r="J12" i="3"/>
  <c r="J38" i="3"/>
  <c r="G32" i="3"/>
  <c r="F24" i="3"/>
  <c r="G40" i="3"/>
  <c r="G48" i="3"/>
  <c r="I40" i="3"/>
  <c r="J8" i="3"/>
  <c r="H32" i="3"/>
  <c r="J11" i="3"/>
  <c r="J37" i="3"/>
  <c r="J46" i="3"/>
  <c r="J29" i="3"/>
  <c r="J36" i="3"/>
  <c r="J20" i="3"/>
  <c r="J10" i="3"/>
  <c r="J9" i="3"/>
  <c r="H40" i="3"/>
  <c r="E15" i="3"/>
  <c r="F40" i="3"/>
  <c r="J27" i="3"/>
  <c r="E32" i="3"/>
  <c r="G26" i="2"/>
  <c r="H21" i="3" a="1"/>
  <c r="H21" i="3" s="1"/>
  <c r="H22" i="3" a="1"/>
  <c r="H22" i="3" s="1"/>
  <c r="H13" i="3" a="1"/>
  <c r="H13" i="3" s="1"/>
  <c r="H19" i="3" a="1"/>
  <c r="H19" i="3" s="1"/>
  <c r="H44" i="3" a="1"/>
  <c r="H44" i="3" s="1"/>
  <c r="H48" i="3" s="1"/>
  <c r="F15" i="3"/>
  <c r="G15" i="3"/>
  <c r="J18" i="3"/>
  <c r="E24" i="3"/>
  <c r="J35" i="3"/>
  <c r="J40" i="3" l="1"/>
  <c r="J32" i="3"/>
  <c r="F50" i="3"/>
  <c r="F51" i="3" s="1"/>
  <c r="F54" i="3" s="1"/>
  <c r="F56" i="3" s="1"/>
  <c r="E64" i="3"/>
  <c r="E63" i="3"/>
  <c r="E50" i="3"/>
  <c r="H24" i="3"/>
  <c r="H15" i="3"/>
  <c r="I22" i="3" a="1"/>
  <c r="I22" i="3" s="1"/>
  <c r="J22" i="3" s="1"/>
  <c r="I13" i="3" a="1"/>
  <c r="I13" i="3" s="1"/>
  <c r="I15" i="3" s="1"/>
  <c r="I44" i="3" a="1"/>
  <c r="I44" i="3" s="1"/>
  <c r="I48" i="3" s="1"/>
  <c r="I19" i="3" a="1"/>
  <c r="I19" i="3" s="1"/>
  <c r="I21" i="3" a="1"/>
  <c r="I21" i="3" s="1"/>
  <c r="J21" i="3" s="1"/>
  <c r="G50" i="3"/>
  <c r="G51" i="3" s="1"/>
  <c r="G54" i="3" s="1"/>
  <c r="G56" i="3" s="1"/>
  <c r="I24" i="3" l="1"/>
  <c r="I50" i="3" s="1"/>
  <c r="I51" i="3" s="1"/>
  <c r="E51" i="3"/>
  <c r="J44" i="3"/>
  <c r="J48" i="3" s="1"/>
  <c r="J13" i="3"/>
  <c r="J15" i="3" s="1"/>
  <c r="H50" i="3"/>
  <c r="J19" i="3"/>
  <c r="J24" i="3" s="1"/>
  <c r="J50" i="3" l="1"/>
  <c r="I54" i="3"/>
  <c r="I56" i="3" s="1"/>
  <c r="E66" i="3"/>
  <c r="E54" i="3"/>
  <c r="H51" i="3"/>
  <c r="H54" i="3" s="1"/>
  <c r="H56" i="3" s="1"/>
  <c r="J51" i="3" l="1"/>
  <c r="J54" i="3"/>
  <c r="E60" i="3" s="1"/>
  <c r="E56" i="3"/>
  <c r="J56" i="3" s="1"/>
  <c r="E61" i="3" s="1"/>
  <c r="E65" i="3" l="1"/>
  <c r="E67" i="3"/>
  <c r="E62" i="3"/>
  <c r="E59" i="3"/>
  <c r="K40" i="3"/>
  <c r="E69" i="3"/>
  <c r="K32" i="3"/>
  <c r="E70" i="3"/>
  <c r="K24" i="3"/>
  <c r="K15" i="3"/>
  <c r="E68" i="3"/>
  <c r="K48" i="3"/>
</calcChain>
</file>

<file path=xl/sharedStrings.xml><?xml version="1.0" encoding="utf-8"?>
<sst xmlns="http://schemas.openxmlformats.org/spreadsheetml/2006/main" count="238" uniqueCount="189">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</sst>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3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0000FF"/>
      <name val="Arial"/>
    </font>
    <font>
      <sz val="11"/>
      <color theme="1"/>
      <name val="Calibri"/>
      <scheme val="minor"/>
    </font>
    <font>
      <sz val="10"/>
      <color rgb="FF008000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6" fillId="0" borderId="0" xfId="0" applyFont="1" applyAlignment="1"/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3" fontId="9" fillId="4" borderId="2" xfId="0" applyNumberFormat="1" applyFont="1" applyFill="1" applyBorder="1" applyAlignment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 applyAlignment="1"/>
    <xf numFmtId="0" fontId="2" fillId="0" borderId="2" xfId="0" applyFont="1" applyBorder="1" applyAlignment="1"/>
    <xf numFmtId="165" fontId="2" fillId="0" borderId="2" xfId="0" applyNumberFormat="1" applyFont="1" applyBorder="1" applyAlignment="1"/>
    <xf numFmtId="0" fontId="9" fillId="4" borderId="2" xfId="0" applyFont="1" applyFill="1" applyBorder="1" applyAlignment="1"/>
    <xf numFmtId="165" fontId="9" fillId="4" borderId="2" xfId="0" applyNumberFormat="1" applyFont="1" applyFill="1" applyBorder="1" applyAlignment="1"/>
    <xf numFmtId="166" fontId="9" fillId="4" borderId="2" xfId="0" applyNumberFormat="1" applyFont="1" applyFill="1" applyBorder="1" applyAlignment="1"/>
    <xf numFmtId="167" fontId="9" fillId="4" borderId="2" xfId="0" applyNumberFormat="1" applyFont="1" applyFill="1" applyBorder="1" applyAlignment="1"/>
    <xf numFmtId="1" fontId="9" fillId="4" borderId="2" xfId="0" applyNumberFormat="1" applyFont="1" applyFill="1" applyBorder="1" applyAlignment="1"/>
    <xf numFmtId="2" fontId="3" fillId="0" borderId="2" xfId="0" applyNumberFormat="1" applyFont="1" applyBorder="1" applyAlignment="1"/>
    <xf numFmtId="165" fontId="3" fillId="0" borderId="2" xfId="0" applyNumberFormat="1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 applyAlignment="1"/>
    <xf numFmtId="0" fontId="5" fillId="5" borderId="2" xfId="0" applyFont="1" applyFill="1" applyBorder="1" applyAlignment="1"/>
    <xf numFmtId="165" fontId="2" fillId="5" borderId="2" xfId="0" applyNumberFormat="1" applyFont="1" applyFill="1" applyBorder="1" applyAlignment="1"/>
    <xf numFmtId="166" fontId="2" fillId="5" borderId="2" xfId="0" applyNumberFormat="1" applyFont="1" applyFill="1" applyBorder="1" applyAlignment="1"/>
    <xf numFmtId="0" fontId="10" fillId="0" borderId="0" xfId="0" applyFont="1"/>
    <xf numFmtId="165" fontId="11" fillId="0" borderId="2" xfId="0" applyNumberFormat="1" applyFont="1" applyBorder="1" applyAlignment="1"/>
    <xf numFmtId="168" fontId="11" fillId="0" borderId="2" xfId="0" applyNumberFormat="1" applyFont="1" applyBorder="1" applyAlignment="1"/>
    <xf numFmtId="0" fontId="8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 applyAlignment="1">
      <alignment vertical="top" wrapText="1"/>
    </xf>
    <xf numFmtId="164" fontId="2" fillId="6" borderId="3" xfId="0" applyNumberFormat="1" applyFont="1" applyFill="1" applyBorder="1" applyAlignment="1"/>
    <xf numFmtId="0" fontId="12" fillId="0" borderId="4" xfId="0" applyFont="1" applyBorder="1"/>
    <xf numFmtId="10" fontId="2" fillId="6" borderId="3" xfId="0" applyNumberFormat="1" applyFont="1" applyFill="1" applyBorder="1" applyAlignment="1"/>
    <xf numFmtId="166" fontId="2" fillId="6" borderId="3" xfId="0" applyNumberFormat="1" applyFont="1" applyFill="1" applyBorder="1" applyAlignment="1"/>
    <xf numFmtId="0" fontId="4" fillId="0" borderId="0" xfId="0" applyFont="1" applyAlignment="1"/>
    <xf numFmtId="0" fontId="9" fillId="4" borderId="5" xfId="0" applyFont="1" applyFill="1" applyBorder="1" applyAlignment="1">
      <alignment vertical="top" wrapText="1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165" fontId="2" fillId="6" borderId="3" xfId="0" applyNumberFormat="1" applyFont="1" applyFill="1" applyBorder="1" applyAlignment="1"/>
    <xf numFmtId="0" fontId="2" fillId="6" borderId="3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46" customWidth="1"/>
    <col min="3" max="3" width="78" customWidth="1"/>
    <col min="4" max="26" width="8.7109375" customWidth="1"/>
  </cols>
  <sheetData>
    <row r="2" spans="2:3" ht="18" x14ac:dyDescent="0.25">
      <c r="B2" s="1" t="s">
        <v>0</v>
      </c>
    </row>
    <row r="3" spans="2:3" x14ac:dyDescent="0.25">
      <c r="B3" s="2"/>
      <c r="C3" s="3"/>
    </row>
    <row r="4" spans="2:3" x14ac:dyDescent="0.25">
      <c r="B4" s="4" t="s">
        <v>3</v>
      </c>
      <c r="C4" s="5"/>
    </row>
    <row r="5" spans="2:3" ht="30" customHeight="1" x14ac:dyDescent="0.25">
      <c r="B5" s="2" t="s">
        <v>6</v>
      </c>
      <c r="C5" s="3" t="s">
        <v>7</v>
      </c>
    </row>
    <row r="6" spans="2:3" ht="30" customHeight="1" x14ac:dyDescent="0.25">
      <c r="B6" s="2" t="s">
        <v>8</v>
      </c>
      <c r="C6" s="3" t="s">
        <v>9</v>
      </c>
    </row>
    <row r="7" spans="2:3" x14ac:dyDescent="0.25">
      <c r="B7" s="2"/>
      <c r="C7" s="3"/>
    </row>
    <row r="8" spans="2:3" x14ac:dyDescent="0.25">
      <c r="B8" s="4" t="s">
        <v>10</v>
      </c>
      <c r="C8" s="5"/>
    </row>
    <row r="9" spans="2:3" x14ac:dyDescent="0.25">
      <c r="B9" s="2" t="s">
        <v>11</v>
      </c>
      <c r="C9" s="3" t="s">
        <v>12</v>
      </c>
    </row>
    <row r="10" spans="2:3" x14ac:dyDescent="0.25">
      <c r="B10" s="2" t="s">
        <v>13</v>
      </c>
      <c r="C10" s="3" t="s">
        <v>14</v>
      </c>
    </row>
    <row r="11" spans="2:3" x14ac:dyDescent="0.25">
      <c r="B11" s="2" t="s">
        <v>16</v>
      </c>
      <c r="C11" s="3" t="s">
        <v>17</v>
      </c>
    </row>
    <row r="12" spans="2:3" x14ac:dyDescent="0.25">
      <c r="B12" s="2"/>
      <c r="C12" s="3"/>
    </row>
    <row r="13" spans="2:3" x14ac:dyDescent="0.25">
      <c r="B13" s="4" t="s">
        <v>18</v>
      </c>
      <c r="C13" s="5"/>
    </row>
    <row r="14" spans="2:3" ht="30" customHeight="1" x14ac:dyDescent="0.25">
      <c r="B14" s="2" t="s">
        <v>19</v>
      </c>
      <c r="C14" s="3" t="s">
        <v>20</v>
      </c>
    </row>
    <row r="15" spans="2:3" ht="30" customHeight="1" x14ac:dyDescent="0.25">
      <c r="B15" s="2" t="s">
        <v>21</v>
      </c>
      <c r="C15" s="3" t="s">
        <v>22</v>
      </c>
    </row>
    <row r="16" spans="2:3" ht="30" customHeight="1" x14ac:dyDescent="0.25">
      <c r="B16" s="2" t="s">
        <v>23</v>
      </c>
      <c r="C16" s="3" t="s">
        <v>24</v>
      </c>
    </row>
    <row r="17" spans="2:3" ht="30" customHeight="1" x14ac:dyDescent="0.25">
      <c r="B17" s="2" t="s">
        <v>25</v>
      </c>
      <c r="C17" s="3" t="s">
        <v>26</v>
      </c>
    </row>
    <row r="18" spans="2:3" ht="30" customHeight="1" x14ac:dyDescent="0.25">
      <c r="B18" s="2" t="s">
        <v>27</v>
      </c>
      <c r="C18" s="3" t="s">
        <v>28</v>
      </c>
    </row>
    <row r="19" spans="2:3" x14ac:dyDescent="0.25">
      <c r="B19" s="2"/>
      <c r="C19" s="3"/>
    </row>
    <row r="20" spans="2:3" x14ac:dyDescent="0.25">
      <c r="B20" s="4" t="s">
        <v>29</v>
      </c>
      <c r="C20" s="5"/>
    </row>
    <row r="21" spans="2:3" ht="30" customHeight="1" x14ac:dyDescent="0.25">
      <c r="B21" s="2" t="s">
        <v>30</v>
      </c>
      <c r="C21" s="3" t="s">
        <v>31</v>
      </c>
    </row>
    <row r="22" spans="2:3" ht="30" customHeight="1" x14ac:dyDescent="0.25">
      <c r="B22" s="2" t="s">
        <v>32</v>
      </c>
      <c r="C22" s="3" t="s">
        <v>33</v>
      </c>
    </row>
    <row r="23" spans="2:3" ht="30" customHeight="1" x14ac:dyDescent="0.25">
      <c r="B23" s="2" t="s">
        <v>35</v>
      </c>
      <c r="C23" s="3" t="s">
        <v>36</v>
      </c>
    </row>
    <row r="24" spans="2:3" ht="30" customHeight="1" x14ac:dyDescent="0.25">
      <c r="B24" s="2" t="s">
        <v>37</v>
      </c>
      <c r="C24" s="3" t="s">
        <v>38</v>
      </c>
    </row>
    <row r="25" spans="2:3" ht="30" customHeight="1" x14ac:dyDescent="0.25">
      <c r="B25" s="2" t="s">
        <v>39</v>
      </c>
      <c r="C25" s="3" t="s">
        <v>40</v>
      </c>
    </row>
    <row r="26" spans="2:3" ht="30" customHeight="1" x14ac:dyDescent="0.25">
      <c r="B26" s="2" t="s">
        <v>43</v>
      </c>
      <c r="C26" s="3" t="s">
        <v>45</v>
      </c>
    </row>
    <row r="27" spans="2:3" ht="15.75" customHeight="1" x14ac:dyDescent="0.25">
      <c r="B27" s="2"/>
      <c r="C27" s="3"/>
    </row>
    <row r="28" spans="2:3" ht="30" customHeight="1" x14ac:dyDescent="0.25">
      <c r="B28" s="32" t="s">
        <v>51</v>
      </c>
      <c r="C28" s="33"/>
    </row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0"/>
  <sheetViews>
    <sheetView showGridLines="0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E19" sqref="E19"/>
    </sheetView>
  </sheetViews>
  <sheetFormatPr defaultColWidth="14.42578125" defaultRowHeight="15" customHeight="1" x14ac:dyDescent="0.25"/>
  <cols>
    <col min="1" max="1" width="3" customWidth="1"/>
    <col min="2" max="2" width="42" customWidth="1"/>
    <col min="3" max="7" width="15" customWidth="1"/>
    <col min="8" max="8" width="52" customWidth="1"/>
    <col min="9" max="26" width="8.7109375" customWidth="1"/>
  </cols>
  <sheetData>
    <row r="2" spans="2:8" ht="18" x14ac:dyDescent="0.25">
      <c r="B2" s="1" t="s">
        <v>2</v>
      </c>
    </row>
    <row r="3" spans="2:8" x14ac:dyDescent="0.25">
      <c r="B3" s="6" t="s">
        <v>4</v>
      </c>
    </row>
    <row r="5" spans="2:8" x14ac:dyDescent="0.25">
      <c r="B5" s="7" t="s">
        <v>15</v>
      </c>
      <c r="C5" s="8"/>
      <c r="D5" s="8"/>
      <c r="E5" s="8"/>
      <c r="F5" s="8"/>
      <c r="G5" s="8"/>
      <c r="H5" s="8"/>
    </row>
    <row r="6" spans="2:8" x14ac:dyDescent="0.25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 spans="2:8" x14ac:dyDescent="0.25">
      <c r="B7" s="10" t="s">
        <v>53</v>
      </c>
      <c r="C7" s="11">
        <v>50000</v>
      </c>
      <c r="D7" s="11">
        <v>300000</v>
      </c>
      <c r="E7" s="11">
        <v>1000000</v>
      </c>
      <c r="F7" s="11">
        <v>2500000</v>
      </c>
      <c r="G7" s="11">
        <v>5000000</v>
      </c>
      <c r="H7" s="12" t="s">
        <v>54</v>
      </c>
    </row>
    <row r="8" spans="2:8" x14ac:dyDescent="0.25">
      <c r="B8" s="10" t="s">
        <v>55</v>
      </c>
      <c r="C8" s="11">
        <v>600000</v>
      </c>
      <c r="D8" s="11">
        <v>3600000</v>
      </c>
      <c r="E8" s="11">
        <v>12000000</v>
      </c>
      <c r="F8" s="11">
        <v>30000000</v>
      </c>
      <c r="G8" s="11">
        <v>60000000</v>
      </c>
      <c r="H8" s="12" t="s">
        <v>56</v>
      </c>
    </row>
    <row r="9" spans="2:8" x14ac:dyDescent="0.25">
      <c r="B9" s="10" t="s">
        <v>57</v>
      </c>
      <c r="C9" s="13">
        <v>25</v>
      </c>
      <c r="D9" s="13">
        <v>26</v>
      </c>
      <c r="E9" s="13">
        <v>27</v>
      </c>
      <c r="F9" s="13">
        <v>28</v>
      </c>
      <c r="G9" s="13">
        <v>29</v>
      </c>
      <c r="H9" s="12" t="s">
        <v>58</v>
      </c>
    </row>
    <row r="10" spans="2:8" x14ac:dyDescent="0.25">
      <c r="B10" s="14" t="s">
        <v>59</v>
      </c>
      <c r="C10" s="15">
        <f>C8*C9</f>
        <v>15000000</v>
      </c>
      <c r="D10" s="15">
        <f t="shared" ref="C10:G10" si="0">D8*D9</f>
        <v>93600000</v>
      </c>
      <c r="E10" s="15">
        <f t="shared" si="0"/>
        <v>324000000</v>
      </c>
      <c r="F10" s="15">
        <f t="shared" si="0"/>
        <v>840000000</v>
      </c>
      <c r="G10" s="15">
        <f t="shared" si="0"/>
        <v>1740000000</v>
      </c>
      <c r="H10" s="12" t="s">
        <v>65</v>
      </c>
    </row>
    <row r="12" spans="2:8" x14ac:dyDescent="0.25">
      <c r="B12" s="7" t="s">
        <v>66</v>
      </c>
      <c r="C12" s="8"/>
      <c r="D12" s="8"/>
      <c r="E12" s="8"/>
      <c r="F12" s="8"/>
      <c r="G12" s="8"/>
      <c r="H12" s="8"/>
    </row>
    <row r="13" spans="2:8" x14ac:dyDescent="0.25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 spans="2:8" x14ac:dyDescent="0.25">
      <c r="B14" s="10" t="s">
        <v>69</v>
      </c>
      <c r="C14" s="18">
        <v>0.08</v>
      </c>
      <c r="H14" s="12" t="s">
        <v>70</v>
      </c>
    </row>
    <row r="15" spans="2:8" ht="24" x14ac:dyDescent="0.25">
      <c r="B15" s="10" t="s">
        <v>71</v>
      </c>
      <c r="C15" s="18">
        <v>0.12</v>
      </c>
      <c r="H15" s="12" t="s">
        <v>72</v>
      </c>
    </row>
    <row r="16" spans="2:8" x14ac:dyDescent="0.25">
      <c r="B16" s="10" t="s">
        <v>73</v>
      </c>
      <c r="C16" s="18">
        <v>0.2</v>
      </c>
      <c r="H16" s="12" t="s">
        <v>74</v>
      </c>
    </row>
    <row r="17" spans="2:8" x14ac:dyDescent="0.25">
      <c r="B17" s="10" t="s">
        <v>75</v>
      </c>
      <c r="C17" s="18">
        <v>0.15</v>
      </c>
      <c r="H17" s="12" t="s">
        <v>76</v>
      </c>
    </row>
    <row r="18" spans="2:8" x14ac:dyDescent="0.25">
      <c r="B18" s="10" t="s">
        <v>77</v>
      </c>
      <c r="C18" s="17">
        <v>5000</v>
      </c>
      <c r="H18" s="12" t="s">
        <v>78</v>
      </c>
    </row>
    <row r="19" spans="2:8" x14ac:dyDescent="0.25">
      <c r="B19" s="10" t="s">
        <v>79</v>
      </c>
      <c r="C19" s="17">
        <v>12000</v>
      </c>
      <c r="H19" s="12" t="s">
        <v>80</v>
      </c>
    </row>
    <row r="20" spans="2:8" x14ac:dyDescent="0.25">
      <c r="B20" s="10" t="s">
        <v>81</v>
      </c>
      <c r="C20" s="19">
        <v>0.99990000000000001</v>
      </c>
      <c r="H20" s="12" t="s">
        <v>82</v>
      </c>
    </row>
    <row r="21" spans="2:8" ht="15.75" customHeight="1" x14ac:dyDescent="0.25">
      <c r="B21" s="10" t="s">
        <v>83</v>
      </c>
      <c r="C21" s="20">
        <v>1</v>
      </c>
      <c r="H21" s="12" t="s">
        <v>84</v>
      </c>
    </row>
    <row r="22" spans="2:8" ht="15.75" customHeight="1" x14ac:dyDescent="0.25"/>
    <row r="23" spans="2:8" ht="15.75" customHeight="1" x14ac:dyDescent="0.25">
      <c r="B23" s="7" t="s">
        <v>85</v>
      </c>
      <c r="C23" s="8"/>
      <c r="D23" s="8"/>
      <c r="E23" s="8"/>
      <c r="F23" s="8"/>
      <c r="G23" s="8"/>
      <c r="H23" s="8"/>
    </row>
    <row r="24" spans="2:8" ht="15.75" customHeight="1" x14ac:dyDescent="0.25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spans="2:8" ht="15.75" customHeight="1" x14ac:dyDescent="0.25">
      <c r="B25" s="10" t="s">
        <v>88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89</v>
      </c>
    </row>
    <row r="26" spans="2:8" ht="15.75" customHeight="1" x14ac:dyDescent="0.25">
      <c r="B26" s="10" t="s">
        <v>90</v>
      </c>
      <c r="C26" s="21">
        <v>1</v>
      </c>
      <c r="D26" s="21">
        <f t="shared" ref="D26:G26" si="1">C26*(1+$C$14)</f>
        <v>1.08</v>
      </c>
      <c r="E26" s="21">
        <f t="shared" si="1"/>
        <v>1.1664000000000001</v>
      </c>
      <c r="F26" s="21">
        <f t="shared" si="1"/>
        <v>1.2597120000000002</v>
      </c>
      <c r="G26" s="21">
        <f t="shared" si="1"/>
        <v>1.3604889600000003</v>
      </c>
      <c r="H26" s="12" t="s">
        <v>91</v>
      </c>
    </row>
    <row r="27" spans="2:8" ht="15.75" customHeight="1" x14ac:dyDescent="0.25">
      <c r="B27" s="10" t="s">
        <v>92</v>
      </c>
      <c r="C27" s="21">
        <v>1</v>
      </c>
      <c r="D27" s="21">
        <f t="shared" ref="D27:G27" si="2">C27*(1+$C$15)</f>
        <v>1.1200000000000001</v>
      </c>
      <c r="E27" s="21">
        <f t="shared" si="2"/>
        <v>1.2544000000000002</v>
      </c>
      <c r="F27" s="21">
        <f t="shared" si="2"/>
        <v>1.4049280000000004</v>
      </c>
      <c r="G27" s="21">
        <f t="shared" si="2"/>
        <v>1.5735193600000006</v>
      </c>
      <c r="H27" s="12" t="s">
        <v>93</v>
      </c>
    </row>
    <row r="28" spans="2:8" ht="15.75" customHeight="1" x14ac:dyDescent="0.25">
      <c r="B28" s="10" t="s">
        <v>64</v>
      </c>
      <c r="C28" s="21">
        <f t="shared" ref="C28:G28" si="3">C7/$C$7</f>
        <v>1</v>
      </c>
      <c r="D28" s="21">
        <f t="shared" si="3"/>
        <v>6</v>
      </c>
      <c r="E28" s="21">
        <f t="shared" si="3"/>
        <v>20</v>
      </c>
      <c r="F28" s="21">
        <f t="shared" si="3"/>
        <v>50</v>
      </c>
      <c r="G28" s="21">
        <f t="shared" si="3"/>
        <v>100</v>
      </c>
      <c r="H28" s="12" t="s">
        <v>94</v>
      </c>
    </row>
    <row r="29" spans="2:8" ht="15.75" customHeight="1" x14ac:dyDescent="0.25">
      <c r="B29" s="10" t="s">
        <v>95</v>
      </c>
      <c r="C29" s="21">
        <f t="shared" ref="C29:G29" si="4">C8/$C$8</f>
        <v>1</v>
      </c>
      <c r="D29" s="21">
        <f t="shared" si="4"/>
        <v>6</v>
      </c>
      <c r="E29" s="21">
        <f t="shared" si="4"/>
        <v>20</v>
      </c>
      <c r="F29" s="21">
        <f t="shared" si="4"/>
        <v>50</v>
      </c>
      <c r="G29" s="21">
        <f t="shared" si="4"/>
        <v>100</v>
      </c>
      <c r="H29" s="12" t="s">
        <v>96</v>
      </c>
    </row>
    <row r="30" spans="2:8" ht="15.75" customHeight="1" x14ac:dyDescent="0.25">
      <c r="B30" s="10" t="s">
        <v>97</v>
      </c>
      <c r="C30" s="21">
        <f t="shared" ref="C30:G30" si="5">C10/$C$10</f>
        <v>1</v>
      </c>
      <c r="D30" s="21">
        <f t="shared" si="5"/>
        <v>6.24</v>
      </c>
      <c r="E30" s="21">
        <f t="shared" si="5"/>
        <v>21.6</v>
      </c>
      <c r="F30" s="21">
        <f t="shared" si="5"/>
        <v>56</v>
      </c>
      <c r="G30" s="21">
        <f t="shared" si="5"/>
        <v>116</v>
      </c>
      <c r="H30" s="12" t="s">
        <v>98</v>
      </c>
    </row>
    <row r="31" spans="2:8" ht="15.75" customHeight="1" x14ac:dyDescent="0.25"/>
    <row r="32" spans="2:8" ht="15" customHeight="1" x14ac:dyDescent="0.25">
      <c r="B32" s="34" t="s">
        <v>99</v>
      </c>
      <c r="C32" s="33"/>
      <c r="D32" s="33"/>
      <c r="E32" s="33"/>
      <c r="F32" s="33"/>
      <c r="G32" s="33"/>
      <c r="H32" s="33"/>
    </row>
    <row r="33" spans="2:8" ht="15.75" customHeight="1" x14ac:dyDescent="0.25">
      <c r="B33" s="33"/>
      <c r="C33" s="33"/>
      <c r="D33" s="33"/>
      <c r="E33" s="33"/>
      <c r="F33" s="33"/>
      <c r="G33" s="33"/>
      <c r="H33" s="33"/>
    </row>
    <row r="34" spans="2:8" ht="15.75" customHeight="1" x14ac:dyDescent="0.25"/>
    <row r="35" spans="2:8" ht="15.75" customHeight="1" x14ac:dyDescent="0.25"/>
    <row r="36" spans="2:8" ht="15.75" customHeight="1" x14ac:dyDescent="0.25"/>
    <row r="37" spans="2:8" ht="15.75" customHeight="1" x14ac:dyDescent="0.25"/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2:H33"/>
  </mergeCell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showGridLines="0" tabSelected="1" workbookViewId="0">
      <pane xSplit="2" ySplit="5" topLeftCell="C39" activePane="bottomRight" state="frozen"/>
      <selection pane="topRight" activeCell="C1" sqref="C1"/>
      <selection pane="bottomLeft" activeCell="A6" sqref="A6"/>
      <selection pane="bottomRight" activeCell="E43" sqref="E43"/>
    </sheetView>
  </sheetViews>
  <sheetFormatPr defaultColWidth="14.42578125" defaultRowHeight="15" customHeight="1" x14ac:dyDescent="0.25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8400</v>
      </c>
      <c r="E7" s="22">
        <f t="array" ref="E7">IF($D7="","",$D7*INDEX(Допущения!$C$25:$G$30,MATCH($C7,Допущения!$B$25:$B$30,0),1))</f>
        <v>8400</v>
      </c>
      <c r="F7" s="22">
        <f t="array" ref="F7">IF($D7="","",$D7*INDEX(Допущения!$C$25:$G$30,MATCH($C7,Допущения!$B$25:$B$30,0),2))</f>
        <v>50400</v>
      </c>
      <c r="G7" s="22">
        <f t="array" ref="G7">IF($D7="","",$D7*INDEX(Допущения!$C$25:$G$30,MATCH($C7,Допущения!$B$25:$B$30,0),3))</f>
        <v>168000</v>
      </c>
      <c r="H7" s="22">
        <f t="array" ref="H7">IF($D7="","",$D7*INDEX(Допущения!$C$25:$G$30,MATCH($C7,Допущения!$B$25:$B$30,0),4))</f>
        <v>420000</v>
      </c>
      <c r="I7" s="22">
        <f t="array" ref="I7">IF($D7="","",$D7*INDEX(Допущения!$C$25:$G$30,MATCH($C7,Допущения!$B$25:$B$30,0),5))</f>
        <v>840000</v>
      </c>
      <c r="J7" s="22">
        <f t="shared" ref="J7:J14" si="0">SUM(E7:I7)</f>
        <v>1486800</v>
      </c>
      <c r="K7" s="23"/>
      <c r="L7" s="24" t="s">
        <v>100</v>
      </c>
    </row>
    <row r="8" spans="2:12" x14ac:dyDescent="0.25">
      <c r="B8" s="10" t="s">
        <v>101</v>
      </c>
      <c r="C8" s="16" t="s">
        <v>64</v>
      </c>
      <c r="D8" s="17">
        <v>3600</v>
      </c>
      <c r="E8" s="22">
        <f>IF($D8="","",$D8*INDEX(Допущения!$C$25:$G$30,MATCH($C8,Допущения!$B$25:$B$30,0),1))</f>
        <v>3600</v>
      </c>
      <c r="F8" s="22">
        <f t="array" ref="F8">IF($D8="","",$D8*INDEX(Допущения!$C$25:$G$30,MATCH($C8,Допущения!$B$25:$B$30,0),2))</f>
        <v>21600</v>
      </c>
      <c r="G8" s="22">
        <f t="array" ref="G8">IF($D8="","",$D8*INDEX(Допущения!$C$25:$G$30,MATCH($C8,Допущения!$B$25:$B$30,0),3))</f>
        <v>72000</v>
      </c>
      <c r="H8" s="22">
        <f t="array" ref="H8">IF($D8="","",$D8*INDEX(Допущения!$C$25:$G$30,MATCH($C8,Допущения!$B$25:$B$30,0),4))</f>
        <v>180000</v>
      </c>
      <c r="I8" s="22">
        <f t="array" ref="I8">IF($D8="","",$D8*INDEX(Допущения!$C$25:$G$30,MATCH($C8,Допущения!$B$25:$B$30,0),5))</f>
        <v>360000</v>
      </c>
      <c r="J8" s="22">
        <f t="shared" si="0"/>
        <v>637200</v>
      </c>
      <c r="K8" s="23"/>
      <c r="L8" s="24" t="s">
        <v>102</v>
      </c>
    </row>
    <row r="9" spans="2:12" x14ac:dyDescent="0.25">
      <c r="B9" s="10" t="s">
        <v>103</v>
      </c>
      <c r="C9" s="16" t="s">
        <v>64</v>
      </c>
      <c r="D9" s="17">
        <v>1800</v>
      </c>
      <c r="E9" s="22">
        <f t="array" ref="E9">IF($D9="","",$D9*INDEX(Допущения!$C$25:$G$30,MATCH($C9,Допущения!$B$25:$B$30,0),1))</f>
        <v>1800</v>
      </c>
      <c r="F9" s="22">
        <f t="array" ref="F9">IF($D9="","",$D9*INDEX(Допущения!$C$25:$G$30,MATCH($C9,Допущения!$B$25:$B$30,0),2))</f>
        <v>10800</v>
      </c>
      <c r="G9" s="22">
        <f t="array" ref="G9">IF($D9="","",$D9*INDEX(Допущения!$C$25:$G$30,MATCH($C9,Допущения!$B$25:$B$30,0),3))</f>
        <v>36000</v>
      </c>
      <c r="H9" s="22">
        <f t="array" ref="H9">IF($D9="","",$D9*INDEX(Допущения!$C$25:$G$30,MATCH($C9,Допущения!$B$25:$B$30,0),4))</f>
        <v>90000</v>
      </c>
      <c r="I9" s="22">
        <f t="array" ref="I9">IF($D9="","",$D9*INDEX(Допущения!$C$25:$G$30,MATCH($C9,Допущения!$B$25:$B$30,0),5))</f>
        <v>180000</v>
      </c>
      <c r="J9" s="22">
        <f t="shared" si="0"/>
        <v>318600</v>
      </c>
      <c r="K9" s="23"/>
      <c r="L9" s="24" t="s">
        <v>104</v>
      </c>
    </row>
    <row r="10" spans="2:12" x14ac:dyDescent="0.25">
      <c r="B10" s="10" t="s">
        <v>105</v>
      </c>
      <c r="C10" s="16" t="s">
        <v>64</v>
      </c>
      <c r="D10" s="17">
        <v>3600</v>
      </c>
      <c r="E10" s="22">
        <f t="array" ref="E10">IF($D10="","",$D10*INDEX(Допущения!$C$25:$G$30,MATCH($C10,Допущения!$B$25:$B$30,0),1))</f>
        <v>3600</v>
      </c>
      <c r="F10" s="22">
        <f t="array" ref="F10">IF($D10="","",$D10*INDEX(Допущения!$C$25:$G$30,MATCH($C10,Допущения!$B$25:$B$30,0),2))</f>
        <v>21600</v>
      </c>
      <c r="G10" s="22">
        <f t="array" ref="G10">IF($D10="","",$D10*INDEX(Допущения!$C$25:$G$30,MATCH($C10,Допущения!$B$25:$B$30,0),3))</f>
        <v>72000</v>
      </c>
      <c r="H10" s="22">
        <f t="array" ref="H10">IF($D10="","",$D10*INDEX(Допущения!$C$25:$G$30,MATCH($C10,Допущения!$B$25:$B$30,0),4))</f>
        <v>180000</v>
      </c>
      <c r="I10" s="22">
        <f t="array" ref="I10">IF($D10="","",$D10*INDEX(Допущения!$C$25:$G$30,MATCH($C10,Допущения!$B$25:$B$30,0),5))</f>
        <v>360000</v>
      </c>
      <c r="J10" s="22">
        <f t="shared" si="0"/>
        <v>637200</v>
      </c>
      <c r="K10" s="23"/>
      <c r="L10" s="24" t="s">
        <v>106</v>
      </c>
    </row>
    <row r="11" spans="2:12" x14ac:dyDescent="0.25">
      <c r="B11" s="10" t="s">
        <v>107</v>
      </c>
      <c r="C11" s="16" t="s">
        <v>64</v>
      </c>
      <c r="D11" s="17">
        <v>1200</v>
      </c>
      <c r="E11" s="22">
        <f t="array" ref="E11">IF($D11="","",$D11*INDEX(Допущения!$C$25:$G$30,MATCH($C11,Допущения!$B$25:$B$30,0),1))</f>
        <v>1200</v>
      </c>
      <c r="F11" s="22">
        <f t="array" ref="F11">IF($D11="","",$D11*INDEX(Допущения!$C$25:$G$30,MATCH($C11,Допущения!$B$25:$B$30,0),2))</f>
        <v>7200</v>
      </c>
      <c r="G11" s="22">
        <f t="array" ref="G11">IF($D11="","",$D11*INDEX(Допущения!$C$25:$G$30,MATCH($C11,Допущения!$B$25:$B$30,0),3))</f>
        <v>24000</v>
      </c>
      <c r="H11" s="22">
        <f t="array" ref="H11">IF($D11="","",$D11*INDEX(Допущения!$C$25:$G$30,MATCH($C11,Допущения!$B$25:$B$30,0),4))</f>
        <v>60000</v>
      </c>
      <c r="I11" s="22">
        <f t="array" ref="I11">IF($D11="","",$D11*INDEX(Допущения!$C$25:$G$30,MATCH($C11,Допущения!$B$25:$B$30,0),5))</f>
        <v>120000</v>
      </c>
      <c r="J11" s="22">
        <f t="shared" si="0"/>
        <v>212400</v>
      </c>
      <c r="K11" s="23"/>
      <c r="L11" s="24" t="s">
        <v>108</v>
      </c>
    </row>
    <row r="12" spans="2:12" x14ac:dyDescent="0.25">
      <c r="B12" s="10" t="s">
        <v>109</v>
      </c>
      <c r="C12" s="16" t="s">
        <v>64</v>
      </c>
      <c r="D12" s="17">
        <v>2400</v>
      </c>
      <c r="E12" s="22">
        <f t="array" ref="E12">IF($D12="","",$D12*INDEX(Допущения!$C$25:$G$30,MATCH($C12,Допущения!$B$25:$B$30,0),1))</f>
        <v>2400</v>
      </c>
      <c r="F12" s="22">
        <f t="array" ref="F12">IF($D12="","",$D12*INDEX(Допущения!$C$25:$G$30,MATCH($C12,Допущения!$B$25:$B$30,0),2))</f>
        <v>14400</v>
      </c>
      <c r="G12" s="22">
        <f t="array" ref="G12">IF($D12="","",$D12*INDEX(Допущения!$C$25:$G$30,MATCH($C12,Допущения!$B$25:$B$30,0),3))</f>
        <v>48000</v>
      </c>
      <c r="H12" s="22">
        <f t="array" ref="H12">IF($D12="","",$D12*INDEX(Допущения!$C$25:$G$30,MATCH($C12,Допущения!$B$25:$B$30,0),4))</f>
        <v>120000</v>
      </c>
      <c r="I12" s="22">
        <f t="array" ref="I12">IF($D12="","",$D12*INDEX(Допущения!$C$25:$G$30,MATCH($C12,Допущения!$B$25:$B$30,0),5))</f>
        <v>240000</v>
      </c>
      <c r="J12" s="22">
        <f t="shared" si="0"/>
        <v>424800</v>
      </c>
      <c r="K12" s="23"/>
      <c r="L12" s="24" t="s">
        <v>110</v>
      </c>
    </row>
    <row r="13" spans="2:12" x14ac:dyDescent="0.25">
      <c r="B13" s="10" t="s">
        <v>111</v>
      </c>
      <c r="C13" s="16" t="s">
        <v>90</v>
      </c>
      <c r="D13" s="17">
        <v>4000</v>
      </c>
      <c r="E13" s="22">
        <f t="array" ref="E13">IF($D13="","",$D13*INDEX(Допущения!$C$25:$G$30,MATCH($C13,Допущения!$B$25:$B$30,0),1))</f>
        <v>4000</v>
      </c>
      <c r="F13" s="22">
        <f t="array" ref="F13">IF($D13="","",$D13*INDEX(Допущения!$C$25:$G$30,MATCH($C13,Допущения!$B$25:$B$30,0),2))</f>
        <v>4320</v>
      </c>
      <c r="G13" s="22">
        <f t="array" ref="G13">IF($D13="","",$D13*INDEX(Допущения!$C$25:$G$30,MATCH($C13,Допущения!$B$25:$B$30,0),3))</f>
        <v>4665.6000000000004</v>
      </c>
      <c r="H13" s="22">
        <f t="array" ref="H13">IF($D13="","",$D13*INDEX(Допущения!$C$25:$G$30,MATCH($C13,Допущения!$B$25:$B$30,0),4))</f>
        <v>5038.8480000000009</v>
      </c>
      <c r="I13" s="22">
        <f t="array" ref="I13">IF($D13="","",$D13*INDEX(Допущения!$C$25:$G$30,MATCH($C13,Допущения!$B$25:$B$30,0),5))</f>
        <v>5441.9558400000014</v>
      </c>
      <c r="J13" s="22">
        <f t="shared" si="0"/>
        <v>23466.403840000003</v>
      </c>
      <c r="K13" s="23"/>
      <c r="L13" s="24" t="s">
        <v>112</v>
      </c>
    </row>
    <row r="14" spans="2:12" x14ac:dyDescent="0.25">
      <c r="B14" s="10"/>
      <c r="C14" s="16" t="s">
        <v>88</v>
      </c>
      <c r="D14" s="17"/>
      <c r="E14" s="22" t="str">
        <f t="array" ref="E14">IF($D14="","",$D14*INDEX(Допущения!$C$25:$G$30,MATCH($C14,Допущения!$B$25:$B$30,0),1))</f>
        <v/>
      </c>
      <c r="F14" s="22" t="str">
        <f t="array" ref="F14">IF($D14="","",$D14*INDEX(Допущения!$C$25:$G$30,MATCH($C14,Допущения!$B$25:$B$30,0),2))</f>
        <v/>
      </c>
      <c r="G14" s="22" t="str">
        <f t="array" ref="G14">IF($D14="","",$D14*INDEX(Допущения!$C$25:$G$30,MATCH($C14,Допущения!$B$25:$B$30,0),3))</f>
        <v/>
      </c>
      <c r="H14" s="22" t="str">
        <f t="array" ref="H14">IF($D14="","",$D14*INDEX(Допущения!$C$25:$G$30,MATCH($C14,Допущения!$B$25:$B$30,0),4))</f>
        <v/>
      </c>
      <c r="I14" s="22" t="str">
        <f t="array" ref="I14">IF($D14="","",$D14*INDEX(Допущения!$C$25:$G$30,MATCH($C14,Допущения!$B$25:$B$30,0),5))</f>
        <v/>
      </c>
      <c r="J14" s="22">
        <f t="shared" si="0"/>
        <v>0</v>
      </c>
      <c r="K14" s="23"/>
      <c r="L14" s="24" t="s">
        <v>113</v>
      </c>
    </row>
    <row r="15" spans="2:12" x14ac:dyDescent="0.25">
      <c r="B15" s="25" t="s">
        <v>114</v>
      </c>
      <c r="C15" s="26"/>
      <c r="D15" s="26"/>
      <c r="E15" s="27">
        <f t="shared" ref="E15:J15" si="1">SUM(E7:E14)</f>
        <v>25000</v>
      </c>
      <c r="F15" s="27">
        <f t="shared" si="1"/>
        <v>130320</v>
      </c>
      <c r="G15" s="27">
        <f t="shared" si="1"/>
        <v>424665.59999999998</v>
      </c>
      <c r="H15" s="27">
        <f t="shared" si="1"/>
        <v>1055038.848</v>
      </c>
      <c r="I15" s="27">
        <f t="shared" si="1"/>
        <v>2105441.95584</v>
      </c>
      <c r="J15" s="27">
        <f t="shared" si="1"/>
        <v>3740466.4038399998</v>
      </c>
      <c r="K15" s="28">
        <f>IFERROR(J15/$J$51,0)</f>
        <v>3.0641149878459652E-2</v>
      </c>
      <c r="L15" s="26"/>
    </row>
    <row r="16" spans="2:12" x14ac:dyDescent="0.25">
      <c r="C16" s="29"/>
    </row>
    <row r="17" spans="2:12" x14ac:dyDescent="0.25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116</v>
      </c>
      <c r="C18" s="16" t="s">
        <v>64</v>
      </c>
      <c r="D18" s="17">
        <v>1200</v>
      </c>
      <c r="E18" s="22">
        <f t="array" ref="E18">IF($D18="","",$D18*INDEX(Допущения!$C$25:$G$30,MATCH($C18,Допущения!$B$25:$B$30,0),1))</f>
        <v>1200</v>
      </c>
      <c r="F18" s="22">
        <f t="array" ref="F18">IF($D18="","",$D18*INDEX(Допущения!$C$25:$G$30,MATCH($C18,Допущения!$B$25:$B$30,0),2))</f>
        <v>7200</v>
      </c>
      <c r="G18" s="22">
        <f t="array" ref="G18">IF($D18="","",$D18*INDEX(Допущения!$C$25:$G$30,MATCH($C18,Допущения!$B$25:$B$30,0),3))</f>
        <v>24000</v>
      </c>
      <c r="H18" s="22">
        <f t="array" ref="H18">IF($D18="","",$D18*INDEX(Допущения!$C$25:$G$30,MATCH($C18,Допущения!$B$25:$B$30,0),4))</f>
        <v>60000</v>
      </c>
      <c r="I18" s="22">
        <f t="array" ref="I18">IF($D18="","",$D18*INDEX(Допущения!$C$25:$G$30,MATCH($C18,Допущения!$B$25:$B$30,0),5))</f>
        <v>120000</v>
      </c>
      <c r="J18" s="22">
        <f t="shared" ref="J18:J23" si="2">SUM(E18:I18)</f>
        <v>212400</v>
      </c>
      <c r="K18" s="23"/>
      <c r="L18" s="24" t="s">
        <v>117</v>
      </c>
    </row>
    <row r="19" spans="2:12" x14ac:dyDescent="0.25">
      <c r="B19" s="10" t="s">
        <v>118</v>
      </c>
      <c r="C19" s="16" t="s">
        <v>90</v>
      </c>
      <c r="D19" s="17">
        <v>1200</v>
      </c>
      <c r="E19" s="22">
        <f t="array" ref="E19">IF($D19="","",$D19*INDEX(Допущения!$C$25:$G$30,MATCH($C19,Допущения!$B$25:$B$30,0),1))</f>
        <v>1200</v>
      </c>
      <c r="F19" s="22">
        <f t="array" ref="F19">IF($D19="","",$D19*INDEX(Допущения!$C$25:$G$30,MATCH($C19,Допущения!$B$25:$B$30,0),2))</f>
        <v>1296</v>
      </c>
      <c r="G19" s="22">
        <f t="array" ref="G19">IF($D19="","",$D19*INDEX(Допущения!$C$25:$G$30,MATCH($C19,Допущения!$B$25:$B$30,0),3))</f>
        <v>1399.68</v>
      </c>
      <c r="H19" s="22">
        <f t="array" ref="H19">IF($D19="","",$D19*INDEX(Допущения!$C$25:$G$30,MATCH($C19,Допущения!$B$25:$B$30,0),4))</f>
        <v>1511.6544000000001</v>
      </c>
      <c r="I19" s="22">
        <f t="array" ref="I19">IF($D19="","",$D19*INDEX(Допущения!$C$25:$G$30,MATCH($C19,Допущения!$B$25:$B$30,0),5))</f>
        <v>1632.5867520000004</v>
      </c>
      <c r="J19" s="22">
        <f t="shared" si="2"/>
        <v>7039.9211520000008</v>
      </c>
      <c r="K19" s="23"/>
      <c r="L19" s="24" t="s">
        <v>119</v>
      </c>
    </row>
    <row r="20" spans="2:12" x14ac:dyDescent="0.25">
      <c r="B20" s="10" t="s">
        <v>120</v>
      </c>
      <c r="C20" s="16" t="s">
        <v>64</v>
      </c>
      <c r="D20" s="17">
        <v>1800</v>
      </c>
      <c r="E20" s="22">
        <f t="array" ref="E20">IF($D20="","",$D20*INDEX(Допущения!$C$25:$G$30,MATCH($C20,Допущения!$B$25:$B$30,0),1))</f>
        <v>1800</v>
      </c>
      <c r="F20" s="22">
        <f t="array" ref="F20">IF($D20="","",$D20*INDEX(Допущения!$C$25:$G$30,MATCH($C20,Допущения!$B$25:$B$30,0),2))</f>
        <v>10800</v>
      </c>
      <c r="G20" s="22">
        <f t="array" ref="G20">IF($D20="","",$D20*INDEX(Допущения!$C$25:$G$30,MATCH($C20,Допущения!$B$25:$B$30,0),3))</f>
        <v>36000</v>
      </c>
      <c r="H20" s="22">
        <f t="array" ref="H20">IF($D20="","",$D20*INDEX(Допущения!$C$25:$G$30,MATCH($C20,Допущения!$B$25:$B$30,0),4))</f>
        <v>90000</v>
      </c>
      <c r="I20" s="22">
        <f t="array" ref="I20">IF($D20="","",$D20*INDEX(Допущения!$C$25:$G$30,MATCH($C20,Допущения!$B$25:$B$30,0),5))</f>
        <v>180000</v>
      </c>
      <c r="J20" s="22">
        <f t="shared" si="2"/>
        <v>318600</v>
      </c>
      <c r="K20" s="23"/>
      <c r="L20" s="24" t="s">
        <v>121</v>
      </c>
    </row>
    <row r="21" spans="2:12" ht="15.75" customHeight="1" x14ac:dyDescent="0.25">
      <c r="B21" s="10" t="s">
        <v>122</v>
      </c>
      <c r="C21" s="16" t="s">
        <v>90</v>
      </c>
      <c r="D21" s="17">
        <v>2400</v>
      </c>
      <c r="E21" s="22">
        <f t="array" ref="E21">IF($D21="","",$D21*INDEX(Допущения!$C$25:$G$30,MATCH($C21,Допущения!$B$25:$B$30,0),1))</f>
        <v>2400</v>
      </c>
      <c r="F21" s="22">
        <f t="array" ref="F21">IF($D21="","",$D21*INDEX(Допущения!$C$25:$G$30,MATCH($C21,Допущения!$B$25:$B$30,0),2))</f>
        <v>2592</v>
      </c>
      <c r="G21" s="22">
        <f t="array" ref="G21">IF($D21="","",$D21*INDEX(Допущения!$C$25:$G$30,MATCH($C21,Допущения!$B$25:$B$30,0),3))</f>
        <v>2799.36</v>
      </c>
      <c r="H21" s="22">
        <f t="array" ref="H21">IF($D21="","",$D21*INDEX(Допущения!$C$25:$G$30,MATCH($C21,Допущения!$B$25:$B$30,0),4))</f>
        <v>3023.3088000000002</v>
      </c>
      <c r="I21" s="22">
        <f t="array" ref="I21">IF($D21="","",$D21*INDEX(Допущения!$C$25:$G$30,MATCH($C21,Допущения!$B$25:$B$30,0),5))</f>
        <v>3265.1735040000008</v>
      </c>
      <c r="J21" s="22">
        <f t="shared" si="2"/>
        <v>14079.842304000002</v>
      </c>
      <c r="K21" s="23"/>
      <c r="L21" s="24" t="s">
        <v>123</v>
      </c>
    </row>
    <row r="22" spans="2:12" ht="15.75" customHeight="1" x14ac:dyDescent="0.25">
      <c r="B22" s="10" t="s">
        <v>124</v>
      </c>
      <c r="C22" s="16" t="s">
        <v>90</v>
      </c>
      <c r="D22" s="17">
        <v>1200</v>
      </c>
      <c r="E22" s="22">
        <f t="array" ref="E22">IF($D22="","",$D22*INDEX(Допущения!$C$25:$G$30,MATCH($C22,Допущения!$B$25:$B$30,0),1))</f>
        <v>1200</v>
      </c>
      <c r="F22" s="22">
        <f t="array" ref="F22">IF($D22="","",$D22*INDEX(Допущения!$C$25:$G$30,MATCH($C22,Допущения!$B$25:$B$30,0),2))</f>
        <v>1296</v>
      </c>
      <c r="G22" s="22">
        <f t="array" ref="G22">IF($D22="","",$D22*INDEX(Допущения!$C$25:$G$30,MATCH($C22,Допущения!$B$25:$B$30,0),3))</f>
        <v>1399.68</v>
      </c>
      <c r="H22" s="22">
        <f t="array" ref="H22">IF($D22="","",$D22*INDEX(Допущения!$C$25:$G$30,MATCH($C22,Допущения!$B$25:$B$30,0),4))</f>
        <v>1511.6544000000001</v>
      </c>
      <c r="I22" s="22">
        <f t="array" ref="I22">IF($D22="","",$D22*INDEX(Допущения!$C$25:$G$30,MATCH($C22,Допущения!$B$25:$B$30,0),5))</f>
        <v>1632.5867520000004</v>
      </c>
      <c r="J22" s="22">
        <f t="shared" si="2"/>
        <v>7039.9211520000008</v>
      </c>
      <c r="K22" s="23"/>
      <c r="L22" s="24" t="s">
        <v>125</v>
      </c>
    </row>
    <row r="23" spans="2:12" ht="15.75" customHeight="1" x14ac:dyDescent="0.25">
      <c r="B23" s="10"/>
      <c r="C23" s="16" t="s">
        <v>88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113</v>
      </c>
    </row>
    <row r="24" spans="2:12" ht="15.75" customHeight="1" x14ac:dyDescent="0.25">
      <c r="B24" s="25" t="s">
        <v>114</v>
      </c>
      <c r="C24" s="26"/>
      <c r="D24" s="26"/>
      <c r="E24" s="27">
        <f t="shared" ref="E24:J24" si="3">SUM(E18:E23)</f>
        <v>7800</v>
      </c>
      <c r="F24" s="27">
        <f t="shared" si="3"/>
        <v>23184</v>
      </c>
      <c r="G24" s="27">
        <f t="shared" si="3"/>
        <v>65598.720000000001</v>
      </c>
      <c r="H24" s="27">
        <f t="shared" si="3"/>
        <v>156046.6176</v>
      </c>
      <c r="I24" s="27">
        <f t="shared" si="3"/>
        <v>306530.34700800001</v>
      </c>
      <c r="J24" s="27">
        <f t="shared" si="3"/>
        <v>559159.68460799998</v>
      </c>
      <c r="K24" s="28">
        <f>IFERROR(J24/$J$51,0)</f>
        <v>4.5805238845286096E-3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127</v>
      </c>
      <c r="C27" s="16" t="s">
        <v>97</v>
      </c>
      <c r="D27" s="17">
        <v>375000</v>
      </c>
      <c r="E27" s="22">
        <f t="array" ref="E27">IF($D27="","",$D27*INDEX(Допущения!$C$25:$G$30,MATCH($C27,Допущения!$B$25:$B$30,0),1))</f>
        <v>375000</v>
      </c>
      <c r="F27" s="22">
        <f t="array" ref="F27">IF($D27="","",$D27*INDEX(Допущения!$C$25:$G$30,MATCH($C27,Допущения!$B$25:$B$30,0),2))</f>
        <v>2340000</v>
      </c>
      <c r="G27" s="22">
        <f t="array" ref="G27">IF($D27="","",$D27*INDEX(Допущения!$C$25:$G$30,MATCH($C27,Допущения!$B$25:$B$30,0),3))</f>
        <v>8100000.0000000009</v>
      </c>
      <c r="H27" s="22">
        <f t="array" ref="H27">IF($D27="","",$D27*INDEX(Допущения!$C$25:$G$30,MATCH($C27,Допущения!$B$25:$B$30,0),4))</f>
        <v>21000000</v>
      </c>
      <c r="I27" s="22">
        <f t="array" ref="I27">IF($D27="","",$D27*INDEX(Допущения!$C$25:$G$30,MATCH($C27,Допущения!$B$25:$B$30,0),5))</f>
        <v>43500000</v>
      </c>
      <c r="J27" s="22">
        <f t="shared" ref="J27:J31" si="4">SUM(E27:I27)</f>
        <v>75315000</v>
      </c>
      <c r="K27" s="23"/>
      <c r="L27" s="24" t="s">
        <v>128</v>
      </c>
    </row>
    <row r="28" spans="2:12" ht="15.75" customHeight="1" x14ac:dyDescent="0.25">
      <c r="B28" s="10" t="s">
        <v>129</v>
      </c>
      <c r="C28" s="16" t="s">
        <v>95</v>
      </c>
      <c r="D28" s="17">
        <v>24000</v>
      </c>
      <c r="E28" s="22">
        <f t="array" ref="E28">IF($D28="","",$D28*INDEX(Допущения!$C$25:$G$30,MATCH($C28,Допущения!$B$25:$B$30,0),1))</f>
        <v>24000</v>
      </c>
      <c r="F28" s="22">
        <f t="array" ref="F28">IF($D28="","",$D28*INDEX(Допущения!$C$25:$G$30,MATCH($C28,Допущения!$B$25:$B$30,0),2))</f>
        <v>144000</v>
      </c>
      <c r="G28" s="22">
        <f t="array" ref="G28">IF($D28="","",$D28*INDEX(Допущения!$C$25:$G$30,MATCH($C28,Допущения!$B$25:$B$30,0),3))</f>
        <v>480000</v>
      </c>
      <c r="H28" s="22">
        <f t="array" ref="H28">IF($D28="","",$D28*INDEX(Допущения!$C$25:$G$30,MATCH($C28,Допущения!$B$25:$B$30,0),4))</f>
        <v>1200000</v>
      </c>
      <c r="I28" s="22">
        <f t="array" ref="I28">IF($D28="","",$D28*INDEX(Допущения!$C$25:$G$30,MATCH($C28,Допущения!$B$25:$B$30,0),5))</f>
        <v>2400000</v>
      </c>
      <c r="J28" s="22">
        <f t="shared" si="4"/>
        <v>4248000</v>
      </c>
      <c r="K28" s="23"/>
      <c r="L28" s="24" t="s">
        <v>130</v>
      </c>
    </row>
    <row r="29" spans="2:12" ht="15.75" customHeight="1" x14ac:dyDescent="0.25">
      <c r="B29" s="10" t="s">
        <v>131</v>
      </c>
      <c r="C29" s="16" t="s">
        <v>95</v>
      </c>
      <c r="D29" s="17">
        <v>18000</v>
      </c>
      <c r="E29" s="22">
        <f t="array" ref="E29">IF($D29="","",$D29*INDEX(Допущения!$C$25:$G$30,MATCH($C29,Допущения!$B$25:$B$30,0),1))</f>
        <v>18000</v>
      </c>
      <c r="F29" s="22">
        <f t="array" ref="F29">IF($D29="","",$D29*INDEX(Допущения!$C$25:$G$30,MATCH($C29,Допущения!$B$25:$B$30,0),2))</f>
        <v>108000</v>
      </c>
      <c r="G29" s="22">
        <f t="array" ref="G29">IF($D29="","",$D29*INDEX(Допущения!$C$25:$G$30,MATCH($C29,Допущения!$B$25:$B$30,0),3))</f>
        <v>360000</v>
      </c>
      <c r="H29" s="22">
        <f t="array" ref="H29">IF($D29="","",$D29*INDEX(Допущения!$C$25:$G$30,MATCH($C29,Допущения!$B$25:$B$30,0),4))</f>
        <v>900000</v>
      </c>
      <c r="I29" s="22">
        <f t="array" ref="I29">IF($D29="","",$D29*INDEX(Допущения!$C$25:$G$30,MATCH($C29,Допущения!$B$25:$B$30,0),5))</f>
        <v>1800000</v>
      </c>
      <c r="J29" s="22">
        <f t="shared" si="4"/>
        <v>3186000</v>
      </c>
      <c r="K29" s="23"/>
      <c r="L29" s="24" t="s">
        <v>132</v>
      </c>
    </row>
    <row r="30" spans="2:12" ht="15.75" customHeight="1" x14ac:dyDescent="0.25">
      <c r="B30" s="10" t="s">
        <v>133</v>
      </c>
      <c r="C30" s="16" t="s">
        <v>95</v>
      </c>
      <c r="D30" s="17">
        <v>90000</v>
      </c>
      <c r="E30" s="22">
        <f t="array" ref="E30">IF($D30="","",$D30*INDEX(Допущения!$C$25:$G$30,MATCH($C30,Допущения!$B$25:$B$30,0),1))</f>
        <v>90000</v>
      </c>
      <c r="F30" s="22">
        <f t="array" ref="F30">IF($D30="","",$D30*INDEX(Допущения!$C$25:$G$30,MATCH($C30,Допущения!$B$25:$B$30,0),2))</f>
        <v>540000</v>
      </c>
      <c r="G30" s="22">
        <f t="array" ref="G30">IF($D30="","",$D30*INDEX(Допущения!$C$25:$G$30,MATCH($C30,Допущения!$B$25:$B$30,0),3))</f>
        <v>1800000</v>
      </c>
      <c r="H30" s="22">
        <f t="array" ref="H30">IF($D30="","",$D30*INDEX(Допущения!$C$25:$G$30,MATCH($C30,Допущения!$B$25:$B$30,0),4))</f>
        <v>4500000</v>
      </c>
      <c r="I30" s="22">
        <f t="array" ref="I30">IF($D30="","",$D30*INDEX(Допущения!$C$25:$G$30,MATCH($C30,Допущения!$B$25:$B$30,0),5))</f>
        <v>9000000</v>
      </c>
      <c r="J30" s="22">
        <f t="shared" si="4"/>
        <v>15930000</v>
      </c>
      <c r="K30" s="23"/>
      <c r="L30" s="24" t="s">
        <v>134</v>
      </c>
    </row>
    <row r="31" spans="2:12" ht="15.75" customHeight="1" x14ac:dyDescent="0.25">
      <c r="B31" s="10"/>
      <c r="C31" s="16" t="s">
        <v>88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 t="shared" si="4"/>
        <v>0</v>
      </c>
      <c r="K31" s="23"/>
      <c r="L31" s="24" t="s">
        <v>113</v>
      </c>
    </row>
    <row r="32" spans="2:12" ht="15.75" customHeight="1" x14ac:dyDescent="0.25">
      <c r="B32" s="25" t="s">
        <v>114</v>
      </c>
      <c r="C32" s="26"/>
      <c r="D32" s="26"/>
      <c r="E32" s="27">
        <f t="shared" ref="E32:J32" si="5">SUM(E27:E31)</f>
        <v>507000</v>
      </c>
      <c r="F32" s="27">
        <f t="shared" si="5"/>
        <v>3132000</v>
      </c>
      <c r="G32" s="27">
        <f t="shared" si="5"/>
        <v>10740000</v>
      </c>
      <c r="H32" s="27">
        <f t="shared" si="5"/>
        <v>27600000</v>
      </c>
      <c r="I32" s="27">
        <f t="shared" si="5"/>
        <v>56700000</v>
      </c>
      <c r="J32" s="27">
        <f t="shared" si="5"/>
        <v>98679000</v>
      </c>
      <c r="K32" s="28">
        <f>IFERROR(J32/$J$51,0)</f>
        <v>0.80835855810719848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136</v>
      </c>
      <c r="C35" s="16" t="s">
        <v>92</v>
      </c>
      <c r="D35" s="17">
        <v>180000</v>
      </c>
      <c r="E35" s="22">
        <f t="array" ref="E35">IF($D35="","",$D35*INDEX(Допущения!$C$25:$G$30,MATCH($C35,Допущения!$B$25:$B$30,0),1))</f>
        <v>180000</v>
      </c>
      <c r="F35" s="22">
        <f t="array" ref="F35">IF($D35="","",$D35*INDEX(Допущения!$C$25:$G$30,MATCH($C35,Допущения!$B$25:$B$30,0),2))</f>
        <v>201600.00000000003</v>
      </c>
      <c r="G35" s="22">
        <f t="array" ref="G35">IF($D35="","",$D35*INDEX(Допущения!$C$25:$G$30,MATCH($C35,Допущения!$B$25:$B$30,0),3))</f>
        <v>225792.00000000003</v>
      </c>
      <c r="H35" s="22">
        <f t="array" ref="H35">IF($D35="","",$D35*INDEX(Допущения!$C$25:$G$30,MATCH($C35,Допущения!$B$25:$B$30,0),4))</f>
        <v>252887.04000000007</v>
      </c>
      <c r="I35" s="22">
        <f t="array" ref="I35">IF($D35="","",$D35*INDEX(Допущения!$C$25:$G$30,MATCH($C35,Допущения!$B$25:$B$30,0),5))</f>
        <v>283233.48480000009</v>
      </c>
      <c r="J35" s="22">
        <f t="shared" ref="J35:J39" si="6">SUM(E35:I35)</f>
        <v>1143512.5248000002</v>
      </c>
      <c r="K35" s="23"/>
      <c r="L35" s="24" t="s">
        <v>137</v>
      </c>
    </row>
    <row r="36" spans="2:12" ht="15.75" customHeight="1" x14ac:dyDescent="0.25">
      <c r="B36" s="10" t="s">
        <v>138</v>
      </c>
      <c r="C36" s="16" t="s">
        <v>92</v>
      </c>
      <c r="D36" s="17">
        <v>60000</v>
      </c>
      <c r="E36" s="22">
        <f t="array" ref="E36">IF($D36="","",$D36*INDEX(Допущения!$C$25:$G$30,MATCH($C36,Допущения!$B$25:$B$30,0),1))</f>
        <v>60000</v>
      </c>
      <c r="F36" s="22">
        <f t="array" ref="F36">IF($D36="","",$D36*INDEX(Допущения!$C$25:$G$30,MATCH($C36,Допущения!$B$25:$B$30,0),2))</f>
        <v>67200</v>
      </c>
      <c r="G36" s="22">
        <f t="array" ref="G36">IF($D36="","",$D36*INDEX(Допущения!$C$25:$G$30,MATCH($C36,Допущения!$B$25:$B$30,0),3))</f>
        <v>75264.000000000015</v>
      </c>
      <c r="H36" s="22">
        <f t="array" ref="H36">IF($D36="","",$D36*INDEX(Допущения!$C$25:$G$30,MATCH($C36,Допущения!$B$25:$B$30,0),4))</f>
        <v>84295.680000000022</v>
      </c>
      <c r="I36" s="22">
        <f t="array" ref="I36">IF($D36="","",$D36*INDEX(Допущения!$C$25:$G$30,MATCH($C36,Допущения!$B$25:$B$30,0),5))</f>
        <v>94411.161600000036</v>
      </c>
      <c r="J36" s="22">
        <f t="shared" si="6"/>
        <v>381170.8416000001</v>
      </c>
      <c r="K36" s="23"/>
      <c r="L36" s="24" t="s">
        <v>139</v>
      </c>
    </row>
    <row r="37" spans="2:12" ht="15.75" customHeight="1" x14ac:dyDescent="0.25">
      <c r="B37" s="10" t="s">
        <v>140</v>
      </c>
      <c r="C37" s="16" t="s">
        <v>92</v>
      </c>
      <c r="D37" s="17">
        <v>70000</v>
      </c>
      <c r="E37" s="22">
        <f t="array" ref="E37">IF($D37="","",$D37*INDEX(Допущения!$C$25:$G$30,MATCH($C37,Допущения!$B$25:$B$30,0),1))</f>
        <v>70000</v>
      </c>
      <c r="F37" s="22">
        <f t="array" ref="F37">IF($D37="","",$D37*INDEX(Допущения!$C$25:$G$30,MATCH($C37,Допущения!$B$25:$B$30,0),2))</f>
        <v>78400.000000000015</v>
      </c>
      <c r="G37" s="22">
        <f t="array" ref="G37">IF($D37="","",$D37*INDEX(Допущения!$C$25:$G$30,MATCH($C37,Допущения!$B$25:$B$30,0),3))</f>
        <v>87808.000000000015</v>
      </c>
      <c r="H37" s="22">
        <f t="array" ref="H37">IF($D37="","",$D37*INDEX(Допущения!$C$25:$G$30,MATCH($C37,Допущения!$B$25:$B$30,0),4))</f>
        <v>98344.960000000021</v>
      </c>
      <c r="I37" s="22">
        <f t="array" ref="I37">IF($D37="","",$D37*INDEX(Допущения!$C$25:$G$30,MATCH($C37,Допущения!$B$25:$B$30,0),5))</f>
        <v>110146.35520000003</v>
      </c>
      <c r="J37" s="22">
        <f t="shared" si="6"/>
        <v>444699.31520000007</v>
      </c>
      <c r="K37" s="23"/>
      <c r="L37" s="24" t="s">
        <v>141</v>
      </c>
    </row>
    <row r="38" spans="2:12" ht="15.75" customHeight="1" x14ac:dyDescent="0.25">
      <c r="B38" s="10" t="s">
        <v>142</v>
      </c>
      <c r="C38" s="16" t="s">
        <v>92</v>
      </c>
      <c r="D38" s="17">
        <v>150000</v>
      </c>
      <c r="E38" s="22">
        <f t="array" ref="E38">IF($D38="","",$D38*INDEX(Допущения!$C$25:$G$30,MATCH($C38,Допущения!$B$25:$B$30,0),1))</f>
        <v>150000</v>
      </c>
      <c r="F38" s="22">
        <f t="array" ref="F38">IF($D38="","",$D38*INDEX(Допущения!$C$25:$G$30,MATCH($C38,Допущения!$B$25:$B$30,0),2))</f>
        <v>168000.00000000003</v>
      </c>
      <c r="G38" s="22">
        <f t="array" ref="G38">IF($D38="","",$D38*INDEX(Допущения!$C$25:$G$30,MATCH($C38,Допущения!$B$25:$B$30,0),3))</f>
        <v>188160.00000000003</v>
      </c>
      <c r="H38" s="22">
        <f t="array" ref="H38">IF($D38="","",$D38*INDEX(Допущения!$C$25:$G$30,MATCH($C38,Допущения!$B$25:$B$30,0),4))</f>
        <v>210739.20000000007</v>
      </c>
      <c r="I38" s="22">
        <f t="array" ref="I38">IF($D38="","",$D38*INDEX(Допущения!$C$25:$G$30,MATCH($C38,Допущения!$B$25:$B$30,0),5))</f>
        <v>236027.9040000001</v>
      </c>
      <c r="J38" s="22">
        <f t="shared" si="6"/>
        <v>952927.10400000017</v>
      </c>
      <c r="K38" s="23"/>
      <c r="L38" s="24" t="s">
        <v>143</v>
      </c>
    </row>
    <row r="39" spans="2:12" ht="15.75" customHeight="1" x14ac:dyDescent="0.25">
      <c r="B39" s="10"/>
      <c r="C39" s="16" t="s">
        <v>88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 t="shared" si="6"/>
        <v>0</v>
      </c>
      <c r="K39" s="23"/>
      <c r="L39" s="24" t="s">
        <v>113</v>
      </c>
    </row>
    <row r="40" spans="2:12" ht="15.75" customHeight="1" x14ac:dyDescent="0.25">
      <c r="B40" s="25" t="s">
        <v>114</v>
      </c>
      <c r="C40" s="26"/>
      <c r="D40" s="26"/>
      <c r="E40" s="27">
        <f t="shared" ref="E40:J40" si="7">SUM(E35:E39)</f>
        <v>460000</v>
      </c>
      <c r="F40" s="27">
        <f t="shared" si="7"/>
        <v>515200</v>
      </c>
      <c r="G40" s="27">
        <f t="shared" si="7"/>
        <v>577024.00000000012</v>
      </c>
      <c r="H40" s="27">
        <f t="shared" si="7"/>
        <v>646266.88000000012</v>
      </c>
      <c r="I40" s="27">
        <f t="shared" si="7"/>
        <v>723818.90560000029</v>
      </c>
      <c r="J40" s="27">
        <f t="shared" si="7"/>
        <v>2922309.7856000005</v>
      </c>
      <c r="K40" s="28">
        <f>IFERROR(J40/$J$51,0)</f>
        <v>2.3938975107471422E-2</v>
      </c>
      <c r="L40" s="26"/>
    </row>
    <row r="41" spans="2:12" ht="15.75" customHeight="1" x14ac:dyDescent="0.25">
      <c r="C41" s="29"/>
    </row>
    <row r="42" spans="2:12" ht="15.75" customHeight="1" x14ac:dyDescent="0.25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5">
      <c r="B43" s="10" t="s">
        <v>145</v>
      </c>
      <c r="C43" s="16" t="s">
        <v>88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f t="array" ref="F43">IF($D43="","",$D43*INDEX(Допущения!$C$25:$G$30,MATCH($C43,Допущения!$B$25:$B$30,0),2))</f>
        <v>25000</v>
      </c>
      <c r="G43" s="22">
        <f t="array" ref="G43">IF($D43="","",$D43*INDEX(Допущения!$C$25:$G$30,MATCH($C43,Допущения!$B$25:$B$30,0),3))</f>
        <v>25000</v>
      </c>
      <c r="H43" s="22">
        <f t="array" ref="H43">IF($D43="","",$D43*INDEX(Допущения!$C$25:$G$30,MATCH($C43,Допущения!$B$25:$B$30,0),4))</f>
        <v>25000</v>
      </c>
      <c r="I43" s="22">
        <f t="array" ref="I43">IF($D43="","",$D43*INDEX(Допущения!$C$25:$G$30,MATCH($C43,Допущения!$B$25:$B$30,0),5))</f>
        <v>25000</v>
      </c>
      <c r="J43" s="22">
        <f t="shared" ref="J43:J47" si="8">SUM(E43:I43)</f>
        <v>125000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90</v>
      </c>
      <c r="D44" s="17">
        <v>15000</v>
      </c>
      <c r="E44" s="22">
        <f t="array" ref="E44">IF($D44="","",$D44*INDEX(Допущения!$C$25:$G$30,MATCH($C44,Допущения!$B$25:$B$30,0),1))</f>
        <v>15000</v>
      </c>
      <c r="F44" s="22">
        <f t="array" ref="F44">IF($D44="","",$D44*INDEX(Допущения!$C$25:$G$30,MATCH($C44,Допущения!$B$25:$B$30,0),2))</f>
        <v>16200.000000000002</v>
      </c>
      <c r="G44" s="22">
        <f t="array" ref="G44">IF($D44="","",$D44*INDEX(Допущения!$C$25:$G$30,MATCH($C44,Допущения!$B$25:$B$30,0),3))</f>
        <v>17496</v>
      </c>
      <c r="H44" s="22">
        <f t="array" ref="H44">IF($D44="","",$D44*INDEX(Допущения!$C$25:$G$30,MATCH($C44,Допущения!$B$25:$B$30,0),4))</f>
        <v>18895.680000000004</v>
      </c>
      <c r="I44" s="22">
        <f t="array" ref="I44">IF($D44="","",$D44*INDEX(Допущения!$C$25:$G$30,MATCH($C44,Допущения!$B$25:$B$30,0),5))</f>
        <v>20407.334400000003</v>
      </c>
      <c r="J44" s="22">
        <f t="shared" si="8"/>
        <v>87999.014400000015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88</v>
      </c>
      <c r="D45" s="17">
        <v>1000</v>
      </c>
      <c r="E45" s="22">
        <f t="array" ref="E45">IF($D45="","",$D45*INDEX(Допущения!$C$25:$G$30,MATCH($C45,Допущения!$B$25:$B$30,0),1))</f>
        <v>1000</v>
      </c>
      <c r="F45" s="22">
        <f t="array" ref="F45">IF($D45="","",$D45*INDEX(Допущения!$C$25:$G$30,MATCH($C45,Допущения!$B$25:$B$30,0),2))</f>
        <v>1000</v>
      </c>
      <c r="G45" s="22">
        <f t="array" ref="G45">IF($D45="","",$D45*INDEX(Допущения!$C$25:$G$30,MATCH($C45,Допущения!$B$25:$B$30,0),3))</f>
        <v>1000</v>
      </c>
      <c r="H45" s="22">
        <f t="array" ref="H45">IF($D45="","",$D45*INDEX(Допущения!$C$25:$G$30,MATCH($C45,Допущения!$B$25:$B$30,0),4))</f>
        <v>1000</v>
      </c>
      <c r="I45" s="22">
        <f t="array" ref="I45">IF($D45="","",$D45*INDEX(Допущения!$C$25:$G$30,MATCH($C45,Допущения!$B$25:$B$30,0),5))</f>
        <v>1000</v>
      </c>
      <c r="J45" s="22">
        <f t="shared" si="8"/>
        <v>5000</v>
      </c>
      <c r="K45" s="23"/>
      <c r="L45" s="24" t="s">
        <v>150</v>
      </c>
    </row>
    <row r="46" spans="2:12" ht="15.75" customHeight="1" x14ac:dyDescent="0.25">
      <c r="B46" s="10" t="s">
        <v>151</v>
      </c>
      <c r="C46" s="16" t="s">
        <v>92</v>
      </c>
      <c r="D46" s="17">
        <v>5000</v>
      </c>
      <c r="E46" s="22">
        <f t="array" ref="E46">IF($D46="","",$D46*INDEX(Допущения!$C$25:$G$30,MATCH($C46,Допущения!$B$25:$B$30,0),1))</f>
        <v>5000</v>
      </c>
      <c r="F46" s="22">
        <f t="array" ref="F46">IF($D46="","",$D46*INDEX(Допущения!$C$25:$G$30,MATCH($C46,Допущения!$B$25:$B$30,0),2))</f>
        <v>5600.0000000000009</v>
      </c>
      <c r="G46" s="22">
        <f t="array" ref="G46">IF($D46="","",$D46*INDEX(Допущения!$C$25:$G$30,MATCH($C46,Допущения!$B$25:$B$30,0),3))</f>
        <v>6272.0000000000009</v>
      </c>
      <c r="H46" s="22">
        <f t="array" ref="H46">IF($D46="","",$D46*INDEX(Допущения!$C$25:$G$30,MATCH($C46,Допущения!$B$25:$B$30,0),4))</f>
        <v>7024.6400000000021</v>
      </c>
      <c r="I46" s="22">
        <f t="array" ref="I46">IF($D46="","",$D46*INDEX(Допущения!$C$25:$G$30,MATCH($C46,Допущения!$B$25:$B$30,0),5))</f>
        <v>7867.596800000003</v>
      </c>
      <c r="J46" s="22">
        <f t="shared" si="8"/>
        <v>31764.236800000006</v>
      </c>
      <c r="K46" s="23"/>
      <c r="L46" s="24" t="s">
        <v>152</v>
      </c>
    </row>
    <row r="47" spans="2:12" ht="15.75" customHeight="1" x14ac:dyDescent="0.25">
      <c r="B47" s="10"/>
      <c r="C47" s="16" t="s">
        <v>88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 t="shared" si="8"/>
        <v>0</v>
      </c>
      <c r="K47" s="23"/>
      <c r="L47" s="24" t="s">
        <v>113</v>
      </c>
    </row>
    <row r="48" spans="2:12" ht="15.75" customHeight="1" x14ac:dyDescent="0.25">
      <c r="B48" s="25" t="s">
        <v>114</v>
      </c>
      <c r="C48" s="26"/>
      <c r="D48" s="26"/>
      <c r="E48" s="27">
        <f t="shared" ref="E48:J48" si="9">SUM(E43:E47)</f>
        <v>46000</v>
      </c>
      <c r="F48" s="27">
        <f t="shared" si="9"/>
        <v>47800</v>
      </c>
      <c r="G48" s="27">
        <f t="shared" si="9"/>
        <v>49768</v>
      </c>
      <c r="H48" s="27">
        <f t="shared" si="9"/>
        <v>51920.320000000007</v>
      </c>
      <c r="I48" s="27">
        <f t="shared" si="9"/>
        <v>54274.931200000006</v>
      </c>
      <c r="J48" s="27">
        <f t="shared" si="9"/>
        <v>249763.25120000003</v>
      </c>
      <c r="K48" s="28">
        <f>IFERROR(J48/$J$51,0)</f>
        <v>2.046010413646247E-3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153</v>
      </c>
      <c r="C50" s="29"/>
      <c r="E50" s="30">
        <f>(E15+E24+E32+E40+E48)*Допущения!$C$17</f>
        <v>156870</v>
      </c>
      <c r="F50" s="30">
        <f>(F15+F24+F32+F40+F48)*Допущения!$C$17</f>
        <v>577275.6</v>
      </c>
      <c r="G50" s="30">
        <f>(G15+G24+G32+G40+G48)*Допущения!$C$17</f>
        <v>1778558.4480000001</v>
      </c>
      <c r="H50" s="30">
        <f>(H15+H24+H32+H40+H48)*Допущения!$C$17</f>
        <v>4426390.8998399992</v>
      </c>
      <c r="I50" s="30">
        <f>(I15+I24+I32+I40+I48)*Допущения!$C$17</f>
        <v>8983509.9209471997</v>
      </c>
      <c r="J50" s="22">
        <f t="shared" ref="J50:J51" si="10">SUM(E50:I50)</f>
        <v>15922604.868787199</v>
      </c>
      <c r="L50" s="6" t="s">
        <v>154</v>
      </c>
    </row>
    <row r="51" spans="2:12" ht="15.75" customHeight="1" x14ac:dyDescent="0.25">
      <c r="B51" s="25" t="s">
        <v>155</v>
      </c>
      <c r="C51" s="29"/>
      <c r="E51" s="27">
        <f t="shared" ref="E51:I51" si="11">E15+E24+E32+E40+E48+E50</f>
        <v>1202670</v>
      </c>
      <c r="F51" s="27">
        <f t="shared" si="11"/>
        <v>4425779.5999999996</v>
      </c>
      <c r="G51" s="27">
        <f t="shared" si="11"/>
        <v>13635614.768000001</v>
      </c>
      <c r="H51" s="27">
        <f t="shared" si="11"/>
        <v>33935663.565439999</v>
      </c>
      <c r="I51" s="27">
        <f t="shared" si="11"/>
        <v>68873576.060595199</v>
      </c>
      <c r="J51" s="27">
        <f t="shared" si="10"/>
        <v>122073303.9940352</v>
      </c>
    </row>
    <row r="52" spans="2:12" ht="15.75" customHeight="1" x14ac:dyDescent="0.25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 x14ac:dyDescent="0.25">
      <c r="B54" s="25" t="s">
        <v>159</v>
      </c>
      <c r="E54" s="27">
        <f t="shared" ref="E54:I54" si="13">E51+E53</f>
        <v>1833389.9999999306</v>
      </c>
      <c r="F54" s="27">
        <f t="shared" si="13"/>
        <v>5056499.5999999298</v>
      </c>
      <c r="G54" s="27">
        <f t="shared" si="13"/>
        <v>14266334.767999932</v>
      </c>
      <c r="H54" s="27">
        <f t="shared" si="13"/>
        <v>34566383.565439932</v>
      </c>
      <c r="I54" s="27">
        <f t="shared" si="13"/>
        <v>69504296.060595125</v>
      </c>
      <c r="J54" s="27">
        <f t="shared" si="12"/>
        <v>125226903.99403486</v>
      </c>
    </row>
    <row r="55" spans="2:12" ht="15.75" customHeight="1" x14ac:dyDescent="0.25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5">
      <c r="B56" s="25" t="s">
        <v>161</v>
      </c>
      <c r="E56" s="27">
        <f t="shared" ref="E56:I56" si="14">E54*E55</f>
        <v>1833389.9999999306</v>
      </c>
      <c r="F56" s="27">
        <f t="shared" si="14"/>
        <v>4213749.6666666083</v>
      </c>
      <c r="G56" s="27">
        <f t="shared" si="14"/>
        <v>9907176.9222221747</v>
      </c>
      <c r="H56" s="27">
        <f t="shared" si="14"/>
        <v>20003694.192962926</v>
      </c>
      <c r="I56" s="27">
        <f t="shared" si="14"/>
        <v>33518661.294654287</v>
      </c>
      <c r="J56" s="27">
        <f>SUM(E56:I56)</f>
        <v>69476672.076505929</v>
      </c>
    </row>
    <row r="57" spans="2:12" ht="15.75" customHeight="1" x14ac:dyDescent="0.25"/>
    <row r="58" spans="2:12" ht="15.75" customHeight="1" x14ac:dyDescent="0.25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163</v>
      </c>
      <c r="E59" s="48">
        <f>J51</f>
        <v>122073303.9940352</v>
      </c>
      <c r="F59" s="36"/>
      <c r="L59" s="12" t="s">
        <v>164</v>
      </c>
    </row>
    <row r="60" spans="2:12" ht="15.75" customHeight="1" x14ac:dyDescent="0.25">
      <c r="B60" s="14" t="s">
        <v>165</v>
      </c>
      <c r="E60" s="48">
        <f>J54</f>
        <v>125226903.99403486</v>
      </c>
      <c r="F60" s="36"/>
      <c r="L60" s="12" t="s">
        <v>166</v>
      </c>
    </row>
    <row r="61" spans="2:12" ht="15.75" customHeight="1" x14ac:dyDescent="0.25">
      <c r="B61" s="14" t="s">
        <v>167</v>
      </c>
      <c r="E61" s="48">
        <f>J56</f>
        <v>69476672.076505929</v>
      </c>
      <c r="F61" s="36"/>
      <c r="L61" s="12" t="s">
        <v>168</v>
      </c>
    </row>
    <row r="62" spans="2:12" ht="15.75" customHeight="1" x14ac:dyDescent="0.25">
      <c r="B62" s="14" t="s">
        <v>169</v>
      </c>
      <c r="E62" s="48">
        <f>J51/5</f>
        <v>24414660.79880704</v>
      </c>
      <c r="F62" s="36"/>
      <c r="L62" s="12" t="s">
        <v>170</v>
      </c>
    </row>
    <row r="63" spans="2:12" ht="15.75" customHeight="1" x14ac:dyDescent="0.25">
      <c r="B63" s="14" t="s">
        <v>171</v>
      </c>
      <c r="E63" s="48">
        <f>E15/12</f>
        <v>2083.3333333333335</v>
      </c>
      <c r="F63" s="36"/>
      <c r="L63" s="12" t="s">
        <v>172</v>
      </c>
    </row>
    <row r="64" spans="2:12" ht="15.75" customHeight="1" x14ac:dyDescent="0.25">
      <c r="B64" s="14" t="s">
        <v>173</v>
      </c>
      <c r="E64" s="49" t="str">
        <f>IF(E15/12&lt;=Допущения!$C$18,"В бюджете CFO","ПРЕВЫШЕНИЕ бюджета")</f>
        <v>В бюджете CFO</v>
      </c>
      <c r="F64" s="36"/>
      <c r="L64" s="12" t="s">
        <v>174</v>
      </c>
    </row>
    <row r="65" spans="2:12" ht="15.75" customHeight="1" x14ac:dyDescent="0.25">
      <c r="B65" s="14" t="s">
        <v>175</v>
      </c>
      <c r="E65" s="35">
        <f>IFERROR(J51/SUM(Допущения!$C$8:$G$8),0)</f>
        <v>1.149466139303533</v>
      </c>
      <c r="F65" s="36"/>
      <c r="L65" s="12" t="s">
        <v>176</v>
      </c>
    </row>
    <row r="66" spans="2:12" ht="15.75" customHeight="1" x14ac:dyDescent="0.25">
      <c r="B66" s="14" t="s">
        <v>177</v>
      </c>
      <c r="E66" s="35">
        <f>IFERROR(I51/Допущения!$G$7,0)</f>
        <v>13.774715212119039</v>
      </c>
      <c r="F66" s="36"/>
      <c r="L66" s="12" t="s">
        <v>178</v>
      </c>
    </row>
    <row r="67" spans="2:12" ht="15.75" customHeight="1" x14ac:dyDescent="0.25">
      <c r="B67" s="14" t="s">
        <v>179</v>
      </c>
      <c r="E67" s="37">
        <f>IFERROR(J51/SUM(Допущения!$C$10:$G$10),0)</f>
        <v>4.0520913494667465E-2</v>
      </c>
      <c r="F67" s="36"/>
      <c r="L67" s="12" t="s">
        <v>180</v>
      </c>
    </row>
    <row r="68" spans="2:12" ht="15.75" customHeight="1" x14ac:dyDescent="0.25">
      <c r="B68" s="14" t="s">
        <v>181</v>
      </c>
      <c r="E68" s="38">
        <f>IFERROR(J15/J51,0)</f>
        <v>3.0641149878459652E-2</v>
      </c>
      <c r="F68" s="36"/>
      <c r="L68" s="12" t="s">
        <v>182</v>
      </c>
    </row>
    <row r="69" spans="2:12" ht="15.75" customHeight="1" x14ac:dyDescent="0.25">
      <c r="B69" s="14" t="s">
        <v>183</v>
      </c>
      <c r="E69" s="38">
        <f>IFERROR(J32/J51,0)</f>
        <v>0.80835855810719848</v>
      </c>
      <c r="F69" s="36"/>
      <c r="L69" s="12" t="s">
        <v>184</v>
      </c>
    </row>
    <row r="70" spans="2:12" ht="15.75" customHeight="1" x14ac:dyDescent="0.25">
      <c r="B70" s="14" t="s">
        <v>185</v>
      </c>
      <c r="E70" s="38">
        <f>IFERROR(J40/J51,0)</f>
        <v>2.3938975107471422E-2</v>
      </c>
      <c r="F70" s="36"/>
      <c r="L70" s="12" t="s">
        <v>186</v>
      </c>
    </row>
    <row r="71" spans="2:12" ht="15.75" customHeight="1" x14ac:dyDescent="0.25"/>
    <row r="72" spans="2:12" ht="15.75" customHeight="1" x14ac:dyDescent="0.25">
      <c r="B72" s="39" t="s">
        <v>187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2:12" ht="15" customHeight="1" x14ac:dyDescent="0.25">
      <c r="B73" s="40" t="s">
        <v>188</v>
      </c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spans="2:12" ht="15.75" customHeight="1" x14ac:dyDescent="0.25">
      <c r="B74" s="43"/>
      <c r="C74" s="33"/>
      <c r="D74" s="33"/>
      <c r="E74" s="33"/>
      <c r="F74" s="33"/>
      <c r="G74" s="33"/>
      <c r="H74" s="33"/>
      <c r="I74" s="33"/>
      <c r="J74" s="33"/>
      <c r="K74" s="33"/>
      <c r="L74" s="44"/>
    </row>
    <row r="75" spans="2:12" ht="15.75" customHeight="1" x14ac:dyDescent="0.25"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Допущения</vt:lpstr>
      <vt:lpstr>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Кацун Анастасия Павловна</cp:lastModifiedBy>
  <dcterms:created xsi:type="dcterms:W3CDTF">2026-08-24T07:50:39Z</dcterms:created>
  <dcterms:modified xsi:type="dcterms:W3CDTF">2026-10-09T11:59:48Z</dcterms:modified>
</cp:coreProperties>
</file>